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isaka\Documents\Personal\OPFL, Ascend, LMS\OPFL - Archives\Records\"/>
    </mc:Choice>
  </mc:AlternateContent>
  <xr:revisionPtr revIDLastSave="0" documentId="13_ncr:1_{18A68AB9-F8C3-4D73-B9F5-85777ADE61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ayoffs" sheetId="1" r:id="rId1"/>
    <sheet name="W-L Records" sheetId="2" r:id="rId2"/>
  </sheets>
  <definedNames>
    <definedName name="_xlnm.Print_Area" localSheetId="0">Playoffs!$A$1:$J$70</definedName>
    <definedName name="_xlnm.Print_Area" localSheetId="1">'W-L Records'!$A$1:$BJ$49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45" i="2" l="1"/>
  <c r="AI45" i="2"/>
  <c r="AD45" i="2"/>
  <c r="Y45" i="2"/>
  <c r="T45" i="2"/>
  <c r="O45" i="2"/>
  <c r="J45" i="2"/>
  <c r="CV45" i="2"/>
  <c r="CQ45" i="2"/>
  <c r="CL45" i="2"/>
  <c r="CG45" i="2"/>
  <c r="CB45" i="2"/>
  <c r="BW45" i="2"/>
  <c r="BR45" i="2"/>
  <c r="BM45" i="2"/>
  <c r="BH45" i="2"/>
  <c r="BC45" i="2"/>
  <c r="AX45" i="2"/>
  <c r="AS45" i="2"/>
  <c r="E45" i="2"/>
  <c r="DD39" i="2"/>
  <c r="DC39" i="2"/>
  <c r="DA39" i="2"/>
  <c r="DB39" i="2" s="1"/>
  <c r="G60" i="2"/>
  <c r="F60" i="2"/>
  <c r="E60" i="2"/>
  <c r="D60" i="2"/>
  <c r="C60" i="2"/>
  <c r="G59" i="2"/>
  <c r="F59" i="2"/>
  <c r="E59" i="2"/>
  <c r="D59" i="2"/>
  <c r="C59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DA38" i="2"/>
  <c r="DB38" i="2" s="1"/>
  <c r="DE38" i="2" s="1"/>
  <c r="CZ41" i="2"/>
  <c r="G41" i="2"/>
  <c r="F41" i="2"/>
  <c r="E41" i="2"/>
  <c r="D41" i="2"/>
  <c r="C41" i="2"/>
  <c r="F64" i="1"/>
  <c r="F63" i="1"/>
  <c r="F62" i="1"/>
  <c r="F58" i="1"/>
  <c r="G62" i="1"/>
  <c r="G58" i="1"/>
  <c r="E58" i="2"/>
  <c r="E57" i="2"/>
  <c r="G58" i="2"/>
  <c r="F58" i="2"/>
  <c r="D58" i="2"/>
  <c r="C58" i="2"/>
  <c r="G57" i="2"/>
  <c r="F57" i="2"/>
  <c r="D57" i="2"/>
  <c r="C57" i="2"/>
  <c r="DA37" i="2"/>
  <c r="DB37" i="2" s="1"/>
  <c r="DE37" i="2" s="1"/>
  <c r="G56" i="2"/>
  <c r="F56" i="2"/>
  <c r="E56" i="2"/>
  <c r="D56" i="2"/>
  <c r="C56" i="2"/>
  <c r="DA36" i="2"/>
  <c r="DB36" i="2" s="1"/>
  <c r="DE36" i="2" s="1"/>
  <c r="DE39" i="2" l="1"/>
  <c r="F50" i="1"/>
  <c r="H62" i="1" l="1"/>
  <c r="H58" i="1"/>
  <c r="DA35" i="2" l="1"/>
  <c r="DB35" i="2" s="1"/>
  <c r="DE35" i="2" s="1"/>
  <c r="G46" i="1" l="1"/>
  <c r="H46" i="1" s="1"/>
  <c r="DA34" i="2"/>
  <c r="DB34" i="2" s="1"/>
  <c r="DE34" i="2" s="1"/>
  <c r="DA33" i="2" l="1"/>
  <c r="DB33" i="2" s="1"/>
  <c r="DE33" i="2" s="1"/>
  <c r="DA32" i="2"/>
  <c r="DB32" i="2" s="1"/>
  <c r="DE32" i="2" s="1"/>
  <c r="DA31" i="2"/>
  <c r="DB31" i="2" s="1"/>
  <c r="DE31" i="2" s="1"/>
  <c r="DA30" i="2"/>
  <c r="DB30" i="2" s="1"/>
  <c r="DA29" i="2"/>
  <c r="DB29" i="2" s="1"/>
  <c r="DA28" i="2"/>
  <c r="DB28" i="2" s="1"/>
  <c r="DA27" i="2"/>
  <c r="DB27" i="2" s="1"/>
  <c r="DA26" i="2"/>
  <c r="DB26" i="2" s="1"/>
  <c r="DA25" i="2"/>
  <c r="DB25" i="2" s="1"/>
  <c r="DA24" i="2"/>
  <c r="DB24" i="2" s="1"/>
  <c r="DA23" i="2"/>
  <c r="DB23" i="2" s="1"/>
  <c r="DA22" i="2"/>
  <c r="DB22" i="2" s="1"/>
  <c r="DA21" i="2"/>
  <c r="DB21" i="2" s="1"/>
  <c r="DA20" i="2"/>
  <c r="DB20" i="2" s="1"/>
  <c r="DA19" i="2"/>
  <c r="DB19" i="2" s="1"/>
  <c r="DA18" i="2"/>
  <c r="DB18" i="2" s="1"/>
  <c r="DA17" i="2"/>
  <c r="DB17" i="2" s="1"/>
  <c r="DA16" i="2"/>
  <c r="DB16" i="2" s="1"/>
  <c r="DA15" i="2"/>
  <c r="DB15" i="2" s="1"/>
  <c r="DA14" i="2"/>
  <c r="DB14" i="2" s="1"/>
  <c r="DA13" i="2"/>
  <c r="DB13" i="2" s="1"/>
  <c r="DA12" i="2"/>
  <c r="DB12" i="2" s="1"/>
  <c r="DA11" i="2"/>
  <c r="DB11" i="2" s="1"/>
  <c r="DA10" i="2"/>
  <c r="DB10" i="2" s="1"/>
  <c r="DA9" i="2"/>
  <c r="DB9" i="2" s="1"/>
  <c r="DA8" i="2"/>
  <c r="DB8" i="2" s="1"/>
  <c r="DA7" i="2"/>
  <c r="DB7" i="2" s="1"/>
  <c r="DA6" i="2"/>
  <c r="DB6" i="2" s="1"/>
  <c r="DA5" i="2"/>
  <c r="DB5" i="2" s="1"/>
  <c r="DA4" i="2"/>
  <c r="DB4" i="2" s="1"/>
  <c r="DA3" i="2"/>
  <c r="DB3" i="2" s="1"/>
  <c r="DC38" i="2" l="1"/>
  <c r="DD38" i="2" s="1"/>
  <c r="DE29" i="2"/>
  <c r="DE30" i="2"/>
  <c r="DC36" i="2"/>
  <c r="DD36" i="2" s="1"/>
  <c r="DC37" i="2"/>
  <c r="DD37" i="2" s="1"/>
  <c r="DE28" i="2"/>
  <c r="DC34" i="2"/>
  <c r="DD34" i="2" s="1"/>
  <c r="DC35" i="2"/>
  <c r="DD35" i="2" s="1"/>
  <c r="DC27" i="2"/>
  <c r="DD27" i="2" s="1"/>
  <c r="K42" i="1"/>
  <c r="N44" i="2"/>
  <c r="N46" i="2" s="1"/>
  <c r="CU44" i="2"/>
  <c r="CP44" i="2"/>
  <c r="CK44" i="2"/>
  <c r="CF44" i="2"/>
  <c r="CA44" i="2"/>
  <c r="BV44" i="2"/>
  <c r="BQ44" i="2"/>
  <c r="BQ46" i="2" s="1"/>
  <c r="BL44" i="2"/>
  <c r="BL46" i="2" s="1"/>
  <c r="BG44" i="2"/>
  <c r="BB44" i="2"/>
  <c r="AW44" i="2"/>
  <c r="AW46" i="2" s="1"/>
  <c r="AR44" i="2"/>
  <c r="AM44" i="2"/>
  <c r="AH44" i="2"/>
  <c r="AH46" i="2" s="1"/>
  <c r="AC44" i="2"/>
  <c r="X44" i="2"/>
  <c r="S44" i="2"/>
  <c r="I44" i="2"/>
  <c r="D44" i="2"/>
  <c r="F57" i="1"/>
  <c r="G57" i="1"/>
  <c r="H57" i="1" s="1"/>
  <c r="G64" i="1"/>
  <c r="H64" i="1" s="1"/>
  <c r="G63" i="1"/>
  <c r="H63" i="1" s="1"/>
  <c r="G55" i="1"/>
  <c r="H55" i="1" s="1"/>
  <c r="G53" i="1"/>
  <c r="H53" i="1" s="1"/>
  <c r="G54" i="1"/>
  <c r="H54" i="1" s="1"/>
  <c r="G50" i="1"/>
  <c r="H50" i="1" s="1"/>
  <c r="G45" i="1"/>
  <c r="H45" i="1" s="1"/>
  <c r="G52" i="1"/>
  <c r="H52" i="1" s="1"/>
  <c r="G49" i="1"/>
  <c r="H49" i="1" s="1"/>
  <c r="G48" i="1"/>
  <c r="H48" i="1" s="1"/>
  <c r="G47" i="1"/>
  <c r="H47" i="1" s="1"/>
  <c r="G61" i="1"/>
  <c r="H61" i="1" s="1"/>
  <c r="G59" i="1"/>
  <c r="H59" i="1" s="1"/>
  <c r="G60" i="1"/>
  <c r="H60" i="1" s="1"/>
  <c r="G56" i="1"/>
  <c r="H56" i="1" s="1"/>
  <c r="G51" i="1"/>
  <c r="H51" i="1" s="1"/>
  <c r="E65" i="1"/>
  <c r="D65" i="1"/>
  <c r="C65" i="1"/>
  <c r="B65" i="1"/>
  <c r="F61" i="1"/>
  <c r="F51" i="1"/>
  <c r="F47" i="1"/>
  <c r="F56" i="1"/>
  <c r="F59" i="1"/>
  <c r="F60" i="1"/>
  <c r="F53" i="1"/>
  <c r="F45" i="1"/>
  <c r="F52" i="1"/>
  <c r="F46" i="1"/>
  <c r="F49" i="1"/>
  <c r="F55" i="1"/>
  <c r="F54" i="1"/>
  <c r="F48" i="1"/>
  <c r="BB46" i="2" l="1"/>
  <c r="CA46" i="2"/>
  <c r="CA48" i="2"/>
  <c r="CU48" i="2"/>
  <c r="X48" i="2"/>
  <c r="CU46" i="2"/>
  <c r="X46" i="2"/>
  <c r="I46" i="2"/>
  <c r="AM48" i="2"/>
  <c r="AM46" i="2"/>
  <c r="CK48" i="2"/>
  <c r="BQ48" i="2"/>
  <c r="AW48" i="2"/>
  <c r="AC48" i="2"/>
  <c r="N48" i="2"/>
  <c r="I48" i="2"/>
  <c r="D48" i="2"/>
  <c r="BB48" i="2"/>
  <c r="BL48" i="2"/>
  <c r="CP48" i="2"/>
  <c r="AR46" i="2"/>
  <c r="BG46" i="2"/>
  <c r="AR48" i="2"/>
  <c r="BG48" i="2"/>
  <c r="BV48" i="2"/>
  <c r="CF48" i="2"/>
  <c r="AC46" i="2"/>
  <c r="CF46" i="2"/>
  <c r="S46" i="2"/>
  <c r="S48" i="2"/>
  <c r="AH48" i="2"/>
  <c r="CK46" i="2"/>
  <c r="CZ45" i="2"/>
  <c r="BV46" i="2"/>
  <c r="CP46" i="2"/>
  <c r="K44" i="1"/>
  <c r="D46" i="2"/>
</calcChain>
</file>

<file path=xl/sharedStrings.xml><?xml version="1.0" encoding="utf-8"?>
<sst xmlns="http://schemas.openxmlformats.org/spreadsheetml/2006/main" count="479" uniqueCount="218">
  <si>
    <t>Oakland</t>
  </si>
  <si>
    <t>2nd</t>
  </si>
  <si>
    <t>Place</t>
  </si>
  <si>
    <t xml:space="preserve">Toilet </t>
  </si>
  <si>
    <t>4th</t>
  </si>
  <si>
    <t>1st</t>
  </si>
  <si>
    <t>3rd</t>
  </si>
  <si>
    <t>Bowl Score</t>
  </si>
  <si>
    <t>Comments</t>
  </si>
  <si>
    <t>Kirk</t>
  </si>
  <si>
    <t>John</t>
  </si>
  <si>
    <t>Kevin</t>
  </si>
  <si>
    <t>Jarrett</t>
  </si>
  <si>
    <t>Eric/Bret/Joe</t>
  </si>
  <si>
    <t>Kreg</t>
  </si>
  <si>
    <t>Steve L.</t>
  </si>
  <si>
    <t>Steve/Wes</t>
  </si>
  <si>
    <t>Adam/Nick/Bill</t>
  </si>
  <si>
    <t>Adam/Nick</t>
  </si>
  <si>
    <t>Greg</t>
  </si>
  <si>
    <t>Eric S.</t>
  </si>
  <si>
    <t>58-54</t>
  </si>
  <si>
    <t>52-52*</t>
  </si>
  <si>
    <t>* Kirk wins on better record because of John's roster snafu.</t>
  </si>
  <si>
    <t>48-34</t>
  </si>
  <si>
    <t>54-35</t>
  </si>
  <si>
    <t>69-57</t>
  </si>
  <si>
    <t>48-36</t>
  </si>
  <si>
    <t>55-46</t>
  </si>
  <si>
    <t>52-23</t>
  </si>
  <si>
    <t>28-28*</t>
  </si>
  <si>
    <t>66-54</t>
  </si>
  <si>
    <t>* Adam wins on better record w/ championship in first year.</t>
  </si>
  <si>
    <t>Kirk's first championship.</t>
  </si>
  <si>
    <t>Jarrett's first championship.</t>
  </si>
  <si>
    <t>Total</t>
  </si>
  <si>
    <t>Mike</t>
  </si>
  <si>
    <t>Kemp/Rams</t>
  </si>
  <si>
    <t>W</t>
  </si>
  <si>
    <t>L</t>
  </si>
  <si>
    <t>T</t>
  </si>
  <si>
    <t>Pts</t>
  </si>
  <si>
    <t>Bill</t>
  </si>
  <si>
    <t xml:space="preserve">Steve L. </t>
  </si>
  <si>
    <t>44-41</t>
  </si>
  <si>
    <t>65-59</t>
  </si>
  <si>
    <t>Steve/J</t>
  </si>
  <si>
    <t>84-55</t>
  </si>
  <si>
    <t>90-58</t>
  </si>
  <si>
    <t>John's first championship.</t>
  </si>
  <si>
    <t>Eliminated 2 division format.</t>
  </si>
  <si>
    <t>Chris</t>
  </si>
  <si>
    <t>86-51</t>
  </si>
  <si>
    <t>54-43</t>
  </si>
  <si>
    <t>Eric H.</t>
  </si>
  <si>
    <t>47-41</t>
  </si>
  <si>
    <t>46-32</t>
  </si>
  <si>
    <t>Eric S's first championship.</t>
  </si>
  <si>
    <t>Kemp</t>
  </si>
  <si>
    <t>Kemp/Ramsey's first team championship.  Kemp's second.</t>
  </si>
  <si>
    <t>Kemp's first championship at 16 years of age.</t>
  </si>
  <si>
    <t>Kreg/J</t>
  </si>
  <si>
    <t>27-24</t>
  </si>
  <si>
    <t>77-60</t>
  </si>
  <si>
    <t>39-16</t>
  </si>
  <si>
    <t>57-57</t>
  </si>
  <si>
    <t xml:space="preserve">Steve/J win despite 6-8-1 season record.  </t>
  </si>
  <si>
    <t>Chris' second championship.</t>
  </si>
  <si>
    <t>68-47</t>
  </si>
  <si>
    <t>68-35</t>
  </si>
  <si>
    <t>Bill's fourth championship and first repeat.</t>
  </si>
  <si>
    <t>Steve M.</t>
  </si>
  <si>
    <t>34-30</t>
  </si>
  <si>
    <t>38-35</t>
  </si>
  <si>
    <t>Steve L's first championship.</t>
  </si>
  <si>
    <t>Nan/Kemp</t>
  </si>
  <si>
    <t>74-17</t>
  </si>
  <si>
    <t>57-48</t>
  </si>
  <si>
    <t>Steve M's first championship.</t>
  </si>
  <si>
    <t>Total Points</t>
  </si>
  <si>
    <t>Avg Pts/Season</t>
  </si>
  <si>
    <t>Seasons</t>
  </si>
  <si>
    <t>W-L Average</t>
  </si>
  <si>
    <t>67-36</t>
  </si>
  <si>
    <t>85-58</t>
  </si>
  <si>
    <t>67-41</t>
  </si>
  <si>
    <t>69-50</t>
  </si>
  <si>
    <t>Bill's third championship.</t>
  </si>
  <si>
    <t>45-34</t>
  </si>
  <si>
    <t>64-62</t>
  </si>
  <si>
    <t>Bill's first championship in Oakland Bowl I.</t>
  </si>
  <si>
    <t>Mark</t>
  </si>
  <si>
    <t>66-42</t>
  </si>
  <si>
    <t>52-37</t>
  </si>
  <si>
    <t>Harold</t>
  </si>
  <si>
    <t>25-22</t>
  </si>
  <si>
    <t>33-31</t>
  </si>
  <si>
    <t>Bill's second championship with only 25 Oakland Bowl pts.</t>
  </si>
  <si>
    <t>Expanded from 8 to 10 teams.</t>
  </si>
  <si>
    <t>Expanded from 10 to 12 teams.</t>
  </si>
  <si>
    <t>Playoff</t>
  </si>
  <si>
    <t>Record</t>
  </si>
  <si>
    <t>Adam</t>
  </si>
  <si>
    <t xml:space="preserve"># of </t>
  </si>
  <si>
    <t>Playoffs</t>
  </si>
  <si>
    <t>Rankings sorted by:</t>
  </si>
  <si>
    <t xml:space="preserve">   1.  Oakland Bowl Championships</t>
  </si>
  <si>
    <t xml:space="preserve">   3.  Playoff Record</t>
  </si>
  <si>
    <t>Changed from 15 to 14 game season.</t>
  </si>
  <si>
    <t>67-48</t>
  </si>
  <si>
    <t>55-23</t>
  </si>
  <si>
    <t>67-30</t>
  </si>
  <si>
    <t>Steve L's second championship.</t>
  </si>
  <si>
    <t>67-28</t>
  </si>
  <si>
    <t>Changed to W-L &amp; Top-6 format.</t>
  </si>
  <si>
    <t>Andrew</t>
  </si>
  <si>
    <t>57-57*</t>
  </si>
  <si>
    <t>62-31</t>
  </si>
  <si>
    <t>Jamboree</t>
  </si>
  <si>
    <t>Jarrett (129)</t>
  </si>
  <si>
    <t>Eric S. (109)</t>
  </si>
  <si>
    <t>Jarrett (121)</t>
  </si>
  <si>
    <t>Kemp (147)</t>
  </si>
  <si>
    <t>Eric S. (132)</t>
  </si>
  <si>
    <t>Eric H. (165)</t>
  </si>
  <si>
    <t>Jarrett (139)</t>
  </si>
  <si>
    <t>Kemp/Rams (115)</t>
  </si>
  <si>
    <t>Kirk/David</t>
  </si>
  <si>
    <t>62-43</t>
  </si>
  <si>
    <t>Jarrett (145)</t>
  </si>
  <si>
    <t>Kirk/David's third championship. John 1-7 in Oakland Bowl. Ouch!</t>
  </si>
  <si>
    <t>37-26</t>
  </si>
  <si>
    <t>Bill/Jill</t>
  </si>
  <si>
    <t>47-36</t>
  </si>
  <si>
    <t>89-48</t>
  </si>
  <si>
    <t>Kevin (124)</t>
  </si>
  <si>
    <t>Cross Check</t>
  </si>
  <si>
    <t>67-62</t>
  </si>
  <si>
    <t>44-44</t>
  </si>
  <si>
    <t>Adam (147)</t>
  </si>
  <si>
    <t>Kreg's first championship. John's fifth consecutive playoff berth.</t>
  </si>
  <si>
    <t xml:space="preserve">Kevin's first championship. Kirk/David's third Oakland Bowl in a row.  </t>
  </si>
  <si>
    <t>Changed scoring system</t>
  </si>
  <si>
    <t xml:space="preserve">Bill gets "one for the thumb."  Steve Lam loses to Bill on late roster in round 1. </t>
  </si>
  <si>
    <t>Greg (124)</t>
  </si>
  <si>
    <t xml:space="preserve">Adam </t>
  </si>
  <si>
    <t>48-42</t>
  </si>
  <si>
    <t>42-39</t>
  </si>
  <si>
    <t># of Teams</t>
  </si>
  <si>
    <t>Team Seasons Total</t>
  </si>
  <si>
    <t>Cross check - Team Seasons Total</t>
  </si>
  <si>
    <t xml:space="preserve">L </t>
  </si>
  <si>
    <t>T6</t>
  </si>
  <si>
    <t>57-31</t>
  </si>
  <si>
    <t>Greg/Griff (111)</t>
  </si>
  <si>
    <t xml:space="preserve">Steve L's fourth championship.  </t>
  </si>
  <si>
    <t>Greg/Griffin</t>
  </si>
  <si>
    <t>Eric/Jeff</t>
  </si>
  <si>
    <t>#</t>
  </si>
  <si>
    <t>62-46</t>
  </si>
  <si>
    <t>Eric S's third championship with Sean Taylor magic.</t>
  </si>
  <si>
    <t>Jarrett (126)</t>
  </si>
  <si>
    <t>41-38</t>
  </si>
  <si>
    <t>65-32</t>
  </si>
  <si>
    <t xml:space="preserve">% of </t>
  </si>
  <si>
    <t>Kemp/Ad/Miles</t>
  </si>
  <si>
    <t>61-33</t>
  </si>
  <si>
    <t>76-49</t>
  </si>
  <si>
    <t>Bill/Jill (115)</t>
  </si>
  <si>
    <t>Steve L./Wes</t>
  </si>
  <si>
    <t>Eric/Jeff (115)</t>
  </si>
  <si>
    <t>52-51</t>
  </si>
  <si>
    <t>59-25</t>
  </si>
  <si>
    <t xml:space="preserve">   2.  % of Playoff Appearances</t>
  </si>
  <si>
    <t>Jarrett/Matt</t>
  </si>
  <si>
    <t>Bill/Wes</t>
  </si>
  <si>
    <t>Added combined yardage scoring</t>
  </si>
  <si>
    <t>63-35</t>
  </si>
  <si>
    <t>69-58</t>
  </si>
  <si>
    <t>Steve M. (117)</t>
  </si>
  <si>
    <t>Avg</t>
  </si>
  <si>
    <t>76-61</t>
  </si>
  <si>
    <t>66-50</t>
  </si>
  <si>
    <t>Adam (141)</t>
  </si>
  <si>
    <t>Andrew wins first championship in his 11th year behind Jackson &amp; McCaffrey.</t>
  </si>
  <si>
    <t>Chris' first championship.  First team to go from worst to first.</t>
  </si>
  <si>
    <t>Adam's second championship.  Second team to go from worst to first.</t>
  </si>
  <si>
    <t>67-57</t>
  </si>
  <si>
    <t>73-58</t>
  </si>
  <si>
    <t>Kevin (125)</t>
  </si>
  <si>
    <t xml:space="preserve">Kirk/David's fourth championship. Steve L.'s fifth straight Oakland Bowl. </t>
  </si>
  <si>
    <t xml:space="preserve">Kemp recruits the third generation (Adelese and Miles) to win third title.  </t>
  </si>
  <si>
    <t xml:space="preserve">Jarrett's second solo championship. Steve/Wes' fourth straight playoff loss.  </t>
  </si>
  <si>
    <t>Kemp/Ad/Miles add fourth championship with 4-0 record in the Oakland Bowl.</t>
  </si>
  <si>
    <t>41-40</t>
  </si>
  <si>
    <t>Eric S. wins repeat championships.</t>
  </si>
  <si>
    <t>*Steve L wins repeat championship on better record for third ring.</t>
  </si>
  <si>
    <t>Steve L. wins second repeat championships and gets "one for the thumb."</t>
  </si>
  <si>
    <t>Kemp/A/M get "one for the thumb" with repeat and  5-0 record in the Oakland Bowl.</t>
  </si>
  <si>
    <t>60-XX</t>
  </si>
  <si>
    <t>Wes/Bill (149)</t>
  </si>
  <si>
    <t>Wes</t>
  </si>
  <si>
    <t>Danny/Joey</t>
  </si>
  <si>
    <t>GmA</t>
  </si>
  <si>
    <t>Kirk/David (122)</t>
  </si>
  <si>
    <t>Jarrett/Matt &amp; Wes</t>
  </si>
  <si>
    <t>John &amp; Kemp/A/M</t>
  </si>
  <si>
    <t>53-45</t>
  </si>
  <si>
    <t>23-10</t>
  </si>
  <si>
    <t xml:space="preserve">Jarrett/Matt and Wes declare historic tie when Bills Bengals game gets cancelled. </t>
  </si>
  <si>
    <t>Kemp/A/M win sixth championship and remain undefeated in the Oakland Bowl!!!</t>
  </si>
  <si>
    <t>43-31</t>
  </si>
  <si>
    <t>56-47</t>
  </si>
  <si>
    <t>John (120)</t>
  </si>
  <si>
    <t>88-57</t>
  </si>
  <si>
    <t>59-51</t>
  </si>
  <si>
    <t>Steve L. (157)</t>
  </si>
  <si>
    <t>Kemp/A/M win seventh championship and 4 of last 5 Oakland Bowls!!!!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</si>
</sst>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0.000000000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name val="Arial"/>
      <family val="2"/>
    </font>
    <font>
      <sz val="1"/>
      <name val="Arial"/>
      <family val="2"/>
    </font>
    <font>
      <sz val="10"/>
      <name val="Arial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164" fontId="0" fillId="0" borderId="0" xfId="0" applyNumberFormat="1"/>
    <xf numFmtId="166" fontId="0" fillId="0" borderId="0" xfId="1" applyNumberFormat="1" applyFont="1" applyBorder="1" applyAlignment="1"/>
    <xf numFmtId="166" fontId="0" fillId="0" borderId="0" xfId="1" applyNumberFormat="1" applyFont="1" applyAlignment="1"/>
    <xf numFmtId="166" fontId="0" fillId="0" borderId="0" xfId="1" applyNumberFormat="1" applyFont="1"/>
    <xf numFmtId="166" fontId="0" fillId="0" borderId="0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9" fontId="5" fillId="0" borderId="0" xfId="2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9" fontId="5" fillId="3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0" fontId="0" fillId="3" borderId="0" xfId="0" applyFill="1"/>
    <xf numFmtId="167" fontId="8" fillId="4" borderId="0" xfId="0" applyNumberFormat="1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3" applyNumberFormat="1" applyFont="1"/>
    <xf numFmtId="0" fontId="1" fillId="0" borderId="3" xfId="3" applyNumberFormat="1" applyFont="1" applyBorder="1" applyAlignment="1"/>
    <xf numFmtId="0" fontId="1" fillId="0" borderId="0" xfId="3" applyNumberFormat="1" applyFont="1" applyBorder="1" applyAlignment="1">
      <alignment horizontal="center"/>
    </xf>
    <xf numFmtId="0" fontId="1" fillId="0" borderId="0" xfId="3" applyNumberFormat="1" applyFont="1" applyBorder="1" applyAlignment="1"/>
    <xf numFmtId="0" fontId="1" fillId="0" borderId="0" xfId="3" applyNumberFormat="1" applyFont="1" applyAlignment="1"/>
    <xf numFmtId="0" fontId="1" fillId="0" borderId="0" xfId="3" applyNumberFormat="1" applyFont="1" applyAlignment="1">
      <alignment horizontal="center"/>
    </xf>
    <xf numFmtId="0" fontId="10" fillId="0" borderId="0" xfId="0" applyFont="1"/>
    <xf numFmtId="165" fontId="1" fillId="0" borderId="0" xfId="0" applyNumberFormat="1" applyFont="1"/>
    <xf numFmtId="0" fontId="8" fillId="0" borderId="1" xfId="0" applyFont="1" applyBorder="1"/>
    <xf numFmtId="1" fontId="0" fillId="0" borderId="0" xfId="0" applyNumberFormat="1"/>
    <xf numFmtId="1" fontId="1" fillId="0" borderId="0" xfId="0" applyNumberFormat="1" applyFont="1"/>
    <xf numFmtId="0" fontId="5" fillId="3" borderId="0" xfId="0" applyFont="1" applyFill="1" applyAlignment="1">
      <alignment horizontal="left"/>
    </xf>
    <xf numFmtId="164" fontId="0" fillId="0" borderId="2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"/>
  <sheetViews>
    <sheetView tabSelected="1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A36" sqref="A36"/>
    </sheetView>
  </sheetViews>
  <sheetFormatPr defaultRowHeight="12.5" x14ac:dyDescent="0.25"/>
  <cols>
    <col min="1" max="1" width="10.7265625" customWidth="1"/>
    <col min="2" max="5" width="15.7265625" customWidth="1"/>
    <col min="6" max="7" width="10.7265625" customWidth="1"/>
    <col min="8" max="8" width="15.7265625" customWidth="1"/>
    <col min="9" max="9" width="64.81640625" customWidth="1"/>
    <col min="10" max="10" width="30.54296875" customWidth="1"/>
  </cols>
  <sheetData>
    <row r="1" spans="1:11" ht="13" x14ac:dyDescent="0.3">
      <c r="B1" s="1" t="s">
        <v>5</v>
      </c>
      <c r="C1" s="1" t="s">
        <v>1</v>
      </c>
      <c r="D1" s="1" t="s">
        <v>6</v>
      </c>
      <c r="E1" s="1" t="s">
        <v>4</v>
      </c>
      <c r="F1" s="1" t="s">
        <v>0</v>
      </c>
      <c r="G1" s="1" t="s">
        <v>3</v>
      </c>
      <c r="H1" s="1"/>
    </row>
    <row r="2" spans="1:11" ht="13" x14ac:dyDescent="0.3">
      <c r="B2" s="2" t="s">
        <v>2</v>
      </c>
      <c r="C2" s="2" t="s">
        <v>2</v>
      </c>
      <c r="D2" s="2" t="s">
        <v>2</v>
      </c>
      <c r="E2" s="2" t="s">
        <v>2</v>
      </c>
      <c r="F2" s="2" t="s">
        <v>7</v>
      </c>
      <c r="G2" s="2" t="s">
        <v>7</v>
      </c>
      <c r="H2" s="2" t="s">
        <v>118</v>
      </c>
      <c r="I2" s="2" t="s">
        <v>8</v>
      </c>
      <c r="K2" s="2" t="s">
        <v>148</v>
      </c>
    </row>
    <row r="3" spans="1:11" ht="13" x14ac:dyDescent="0.3">
      <c r="B3" s="2"/>
      <c r="C3" s="2"/>
      <c r="D3" s="2"/>
      <c r="E3" s="2"/>
      <c r="F3" s="2"/>
      <c r="G3" s="2"/>
      <c r="H3" s="2"/>
      <c r="I3" s="2"/>
      <c r="J3" s="11"/>
    </row>
    <row r="4" spans="1:11" x14ac:dyDescent="0.25">
      <c r="A4" s="3">
        <v>1988</v>
      </c>
      <c r="B4" s="3" t="s">
        <v>42</v>
      </c>
      <c r="C4" s="3" t="s">
        <v>71</v>
      </c>
      <c r="D4" s="3" t="s">
        <v>54</v>
      </c>
      <c r="E4" s="3" t="s">
        <v>14</v>
      </c>
      <c r="F4" s="3" t="s">
        <v>88</v>
      </c>
      <c r="G4" s="3" t="s">
        <v>89</v>
      </c>
      <c r="H4" s="4"/>
      <c r="I4" s="4" t="s">
        <v>90</v>
      </c>
      <c r="K4">
        <v>8</v>
      </c>
    </row>
    <row r="5" spans="1:11" x14ac:dyDescent="0.25">
      <c r="A5" s="3">
        <v>1989</v>
      </c>
      <c r="B5" s="3" t="s">
        <v>51</v>
      </c>
      <c r="C5" s="3" t="s">
        <v>54</v>
      </c>
      <c r="D5" s="3" t="s">
        <v>20</v>
      </c>
      <c r="E5" s="3" t="s">
        <v>75</v>
      </c>
      <c r="F5" s="3" t="s">
        <v>92</v>
      </c>
      <c r="G5" s="3" t="s">
        <v>93</v>
      </c>
      <c r="H5" s="4"/>
      <c r="I5" s="36" t="s">
        <v>185</v>
      </c>
      <c r="J5" s="12" t="s">
        <v>98</v>
      </c>
      <c r="K5">
        <v>10</v>
      </c>
    </row>
    <row r="6" spans="1:11" x14ac:dyDescent="0.25">
      <c r="A6" s="3">
        <v>1990</v>
      </c>
      <c r="B6" s="3" t="s">
        <v>42</v>
      </c>
      <c r="C6" s="3" t="s">
        <v>51</v>
      </c>
      <c r="D6" s="3" t="s">
        <v>14</v>
      </c>
      <c r="E6" s="3" t="s">
        <v>10</v>
      </c>
      <c r="F6" s="3" t="s">
        <v>95</v>
      </c>
      <c r="G6" s="3" t="s">
        <v>96</v>
      </c>
      <c r="H6" s="4"/>
      <c r="I6" s="4" t="s">
        <v>97</v>
      </c>
      <c r="K6">
        <v>10</v>
      </c>
    </row>
    <row r="7" spans="1:11" x14ac:dyDescent="0.25">
      <c r="A7" s="3">
        <v>1991</v>
      </c>
      <c r="B7" s="3" t="s">
        <v>71</v>
      </c>
      <c r="C7" s="3" t="s">
        <v>10</v>
      </c>
      <c r="D7" s="3" t="s">
        <v>51</v>
      </c>
      <c r="E7" s="3" t="s">
        <v>75</v>
      </c>
      <c r="F7" s="3" t="s">
        <v>76</v>
      </c>
      <c r="G7" s="3" t="s">
        <v>77</v>
      </c>
      <c r="H7" s="4"/>
      <c r="I7" s="4" t="s">
        <v>78</v>
      </c>
      <c r="K7">
        <v>10</v>
      </c>
    </row>
    <row r="8" spans="1:11" x14ac:dyDescent="0.25">
      <c r="A8" s="3">
        <v>1992</v>
      </c>
      <c r="B8" s="3" t="s">
        <v>43</v>
      </c>
      <c r="C8" s="3" t="s">
        <v>71</v>
      </c>
      <c r="D8" s="3" t="s">
        <v>9</v>
      </c>
      <c r="E8" s="3" t="s">
        <v>42</v>
      </c>
      <c r="F8" s="3" t="s">
        <v>73</v>
      </c>
      <c r="G8" s="3" t="s">
        <v>72</v>
      </c>
      <c r="H8" s="4"/>
      <c r="I8" s="4" t="s">
        <v>74</v>
      </c>
      <c r="K8">
        <v>10</v>
      </c>
    </row>
    <row r="9" spans="1:11" x14ac:dyDescent="0.25">
      <c r="A9" s="3">
        <v>1993</v>
      </c>
      <c r="B9" s="3" t="s">
        <v>42</v>
      </c>
      <c r="C9" s="3" t="s">
        <v>15</v>
      </c>
      <c r="D9" s="3" t="s">
        <v>10</v>
      </c>
      <c r="E9" s="3" t="s">
        <v>54</v>
      </c>
      <c r="F9" s="3" t="s">
        <v>85</v>
      </c>
      <c r="G9" s="3" t="s">
        <v>86</v>
      </c>
      <c r="H9" s="4"/>
      <c r="I9" s="4" t="s">
        <v>87</v>
      </c>
      <c r="K9">
        <v>10</v>
      </c>
    </row>
    <row r="10" spans="1:11" x14ac:dyDescent="0.25">
      <c r="A10" s="3">
        <v>1994</v>
      </c>
      <c r="B10" s="3" t="s">
        <v>42</v>
      </c>
      <c r="C10" s="3" t="s">
        <v>10</v>
      </c>
      <c r="D10" s="3" t="s">
        <v>54</v>
      </c>
      <c r="E10" s="3" t="s">
        <v>15</v>
      </c>
      <c r="F10" s="3" t="s">
        <v>68</v>
      </c>
      <c r="G10" s="3" t="s">
        <v>69</v>
      </c>
      <c r="H10" s="4"/>
      <c r="I10" s="36" t="s">
        <v>70</v>
      </c>
      <c r="K10">
        <v>10</v>
      </c>
    </row>
    <row r="11" spans="1:11" x14ac:dyDescent="0.25">
      <c r="A11" s="3">
        <v>1995</v>
      </c>
      <c r="B11" s="3" t="s">
        <v>51</v>
      </c>
      <c r="C11" s="3" t="s">
        <v>15</v>
      </c>
      <c r="D11" s="3" t="s">
        <v>58</v>
      </c>
      <c r="E11" s="3" t="s">
        <v>10</v>
      </c>
      <c r="F11" s="3" t="s">
        <v>83</v>
      </c>
      <c r="G11" s="3" t="s">
        <v>84</v>
      </c>
      <c r="H11" s="4"/>
      <c r="I11" s="4" t="s">
        <v>67</v>
      </c>
      <c r="K11">
        <v>10</v>
      </c>
    </row>
    <row r="12" spans="1:11" x14ac:dyDescent="0.25">
      <c r="A12" s="3">
        <v>1996</v>
      </c>
      <c r="B12" s="3" t="s">
        <v>46</v>
      </c>
      <c r="C12" s="3" t="s">
        <v>20</v>
      </c>
      <c r="D12" s="3" t="s">
        <v>10</v>
      </c>
      <c r="E12" s="3" t="s">
        <v>51</v>
      </c>
      <c r="F12" s="3" t="s">
        <v>64</v>
      </c>
      <c r="G12" s="3" t="s">
        <v>65</v>
      </c>
      <c r="H12" s="4"/>
      <c r="I12" s="4" t="s">
        <v>66</v>
      </c>
      <c r="K12">
        <v>10</v>
      </c>
    </row>
    <row r="13" spans="1:11" x14ac:dyDescent="0.25">
      <c r="A13" s="3">
        <v>1997</v>
      </c>
      <c r="B13" s="3" t="s">
        <v>58</v>
      </c>
      <c r="C13" s="3" t="s">
        <v>42</v>
      </c>
      <c r="D13" s="3" t="s">
        <v>51</v>
      </c>
      <c r="E13" s="3" t="s">
        <v>61</v>
      </c>
      <c r="F13" s="3" t="s">
        <v>62</v>
      </c>
      <c r="G13" s="3" t="s">
        <v>63</v>
      </c>
      <c r="H13" s="4"/>
      <c r="I13" s="4" t="s">
        <v>60</v>
      </c>
      <c r="K13">
        <v>10</v>
      </c>
    </row>
    <row r="14" spans="1:11" x14ac:dyDescent="0.25">
      <c r="A14" s="3">
        <v>1998</v>
      </c>
      <c r="B14" s="3" t="s">
        <v>20</v>
      </c>
      <c r="C14" s="3" t="s">
        <v>10</v>
      </c>
      <c r="D14" s="3" t="s">
        <v>15</v>
      </c>
      <c r="E14" s="3" t="s">
        <v>54</v>
      </c>
      <c r="F14" s="3" t="s">
        <v>55</v>
      </c>
      <c r="G14" s="3" t="s">
        <v>56</v>
      </c>
      <c r="H14" s="4"/>
      <c r="I14" s="4" t="s">
        <v>57</v>
      </c>
      <c r="K14">
        <v>10</v>
      </c>
    </row>
    <row r="15" spans="1:11" x14ac:dyDescent="0.25">
      <c r="A15" s="3">
        <v>1999</v>
      </c>
      <c r="B15" s="3" t="s">
        <v>20</v>
      </c>
      <c r="C15" s="3" t="s">
        <v>15</v>
      </c>
      <c r="D15" s="3" t="s">
        <v>46</v>
      </c>
      <c r="E15" s="3" t="s">
        <v>37</v>
      </c>
      <c r="F15" s="3" t="s">
        <v>52</v>
      </c>
      <c r="G15" s="3" t="s">
        <v>53</v>
      </c>
      <c r="H15" s="4"/>
      <c r="I15" s="36" t="s">
        <v>195</v>
      </c>
      <c r="K15">
        <v>10</v>
      </c>
    </row>
    <row r="16" spans="1:11" x14ac:dyDescent="0.25">
      <c r="A16" s="3">
        <v>2000</v>
      </c>
      <c r="B16" s="3" t="s">
        <v>10</v>
      </c>
      <c r="C16" s="3" t="s">
        <v>46</v>
      </c>
      <c r="D16" s="3" t="s">
        <v>37</v>
      </c>
      <c r="E16" s="3" t="s">
        <v>15</v>
      </c>
      <c r="F16" s="3" t="s">
        <v>47</v>
      </c>
      <c r="G16" s="3" t="s">
        <v>48</v>
      </c>
      <c r="H16" s="4"/>
      <c r="I16" s="4" t="s">
        <v>49</v>
      </c>
      <c r="K16">
        <v>10</v>
      </c>
    </row>
    <row r="17" spans="1:11" x14ac:dyDescent="0.25">
      <c r="A17" s="3">
        <v>2001</v>
      </c>
      <c r="B17" s="3" t="s">
        <v>37</v>
      </c>
      <c r="C17" s="3" t="s">
        <v>10</v>
      </c>
      <c r="D17" s="3" t="s">
        <v>9</v>
      </c>
      <c r="E17" s="3" t="s">
        <v>43</v>
      </c>
      <c r="F17" s="3" t="s">
        <v>45</v>
      </c>
      <c r="G17" s="3" t="s">
        <v>44</v>
      </c>
      <c r="H17" s="4"/>
      <c r="I17" s="4" t="s">
        <v>59</v>
      </c>
      <c r="J17" s="12" t="s">
        <v>50</v>
      </c>
      <c r="K17">
        <v>10</v>
      </c>
    </row>
    <row r="18" spans="1:11" x14ac:dyDescent="0.25">
      <c r="A18" s="3">
        <v>2002</v>
      </c>
      <c r="B18" s="3" t="s">
        <v>18</v>
      </c>
      <c r="C18" s="3" t="s">
        <v>19</v>
      </c>
      <c r="D18" s="3" t="s">
        <v>20</v>
      </c>
      <c r="E18" s="3" t="s">
        <v>10</v>
      </c>
      <c r="F18" s="3" t="s">
        <v>30</v>
      </c>
      <c r="G18" s="3" t="s">
        <v>31</v>
      </c>
      <c r="H18" s="4" t="s">
        <v>126</v>
      </c>
      <c r="I18" s="4" t="s">
        <v>32</v>
      </c>
      <c r="J18" s="12" t="s">
        <v>99</v>
      </c>
      <c r="K18">
        <v>12</v>
      </c>
    </row>
    <row r="19" spans="1:11" x14ac:dyDescent="0.25">
      <c r="A19" s="3">
        <v>2003</v>
      </c>
      <c r="B19" s="3" t="s">
        <v>9</v>
      </c>
      <c r="C19" s="3" t="s">
        <v>16</v>
      </c>
      <c r="D19" s="3" t="s">
        <v>10</v>
      </c>
      <c r="E19" s="3" t="s">
        <v>15</v>
      </c>
      <c r="F19" s="3" t="s">
        <v>28</v>
      </c>
      <c r="G19" s="3" t="s">
        <v>29</v>
      </c>
      <c r="H19" s="4" t="s">
        <v>125</v>
      </c>
      <c r="I19" s="4" t="s">
        <v>33</v>
      </c>
      <c r="K19">
        <v>12</v>
      </c>
    </row>
    <row r="20" spans="1:11" x14ac:dyDescent="0.25">
      <c r="A20" s="3">
        <v>2004</v>
      </c>
      <c r="B20" s="3" t="s">
        <v>14</v>
      </c>
      <c r="C20" s="3" t="s">
        <v>10</v>
      </c>
      <c r="D20" s="3" t="s">
        <v>17</v>
      </c>
      <c r="E20" s="3" t="s">
        <v>15</v>
      </c>
      <c r="F20" s="3" t="s">
        <v>26</v>
      </c>
      <c r="G20" s="3" t="s">
        <v>27</v>
      </c>
      <c r="H20" s="49" t="s">
        <v>124</v>
      </c>
      <c r="I20" s="4" t="s">
        <v>140</v>
      </c>
      <c r="K20">
        <v>12</v>
      </c>
    </row>
    <row r="21" spans="1:11" x14ac:dyDescent="0.25">
      <c r="A21" s="3">
        <v>2005</v>
      </c>
      <c r="B21" s="3" t="s">
        <v>12</v>
      </c>
      <c r="C21" s="3" t="s">
        <v>13</v>
      </c>
      <c r="D21" s="3" t="s">
        <v>9</v>
      </c>
      <c r="E21" s="3" t="s">
        <v>16</v>
      </c>
      <c r="F21" s="3" t="s">
        <v>24</v>
      </c>
      <c r="G21" s="3" t="s">
        <v>25</v>
      </c>
      <c r="H21" s="4" t="s">
        <v>123</v>
      </c>
      <c r="I21" s="4" t="s">
        <v>34</v>
      </c>
      <c r="K21">
        <v>12</v>
      </c>
    </row>
    <row r="22" spans="1:11" x14ac:dyDescent="0.25">
      <c r="A22" s="3">
        <v>2006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22</v>
      </c>
      <c r="G22" s="3" t="s">
        <v>21</v>
      </c>
      <c r="H22" s="4" t="s">
        <v>122</v>
      </c>
      <c r="I22" s="4" t="s">
        <v>23</v>
      </c>
      <c r="J22" s="12" t="s">
        <v>108</v>
      </c>
      <c r="K22">
        <v>12</v>
      </c>
    </row>
    <row r="23" spans="1:11" x14ac:dyDescent="0.25">
      <c r="A23" s="3">
        <v>2007</v>
      </c>
      <c r="B23" s="3" t="s">
        <v>20</v>
      </c>
      <c r="C23" s="3" t="s">
        <v>11</v>
      </c>
      <c r="D23" s="3" t="s">
        <v>36</v>
      </c>
      <c r="E23" s="3" t="s">
        <v>9</v>
      </c>
      <c r="F23" s="3" t="s">
        <v>110</v>
      </c>
      <c r="G23" s="3" t="s">
        <v>109</v>
      </c>
      <c r="H23" s="4" t="s">
        <v>121</v>
      </c>
      <c r="I23" s="4" t="s">
        <v>160</v>
      </c>
      <c r="K23">
        <v>12</v>
      </c>
    </row>
    <row r="24" spans="1:11" x14ac:dyDescent="0.25">
      <c r="A24" s="3">
        <v>2008</v>
      </c>
      <c r="B24" s="3" t="s">
        <v>43</v>
      </c>
      <c r="C24" s="3" t="s">
        <v>19</v>
      </c>
      <c r="D24" s="3" t="s">
        <v>10</v>
      </c>
      <c r="E24" s="3" t="s">
        <v>12</v>
      </c>
      <c r="F24" s="3" t="s">
        <v>113</v>
      </c>
      <c r="G24" s="3" t="s">
        <v>111</v>
      </c>
      <c r="H24" s="4" t="s">
        <v>120</v>
      </c>
      <c r="I24" s="4" t="s">
        <v>112</v>
      </c>
      <c r="K24">
        <v>12</v>
      </c>
    </row>
    <row r="25" spans="1:11" x14ac:dyDescent="0.25">
      <c r="A25" s="3">
        <v>2009</v>
      </c>
      <c r="B25" s="3" t="s">
        <v>43</v>
      </c>
      <c r="C25" s="3" t="s">
        <v>42</v>
      </c>
      <c r="D25" s="3" t="s">
        <v>19</v>
      </c>
      <c r="E25" s="3" t="s">
        <v>10</v>
      </c>
      <c r="F25" s="3" t="s">
        <v>116</v>
      </c>
      <c r="G25" s="3" t="s">
        <v>117</v>
      </c>
      <c r="H25" s="4" t="s">
        <v>119</v>
      </c>
      <c r="I25" s="36" t="s">
        <v>196</v>
      </c>
      <c r="J25" t="s">
        <v>114</v>
      </c>
      <c r="K25">
        <v>12</v>
      </c>
    </row>
    <row r="26" spans="1:11" x14ac:dyDescent="0.25">
      <c r="A26" s="3">
        <v>2010</v>
      </c>
      <c r="B26" s="3" t="s">
        <v>127</v>
      </c>
      <c r="C26" s="3" t="s">
        <v>10</v>
      </c>
      <c r="D26" s="3" t="s">
        <v>43</v>
      </c>
      <c r="E26" s="3" t="s">
        <v>11</v>
      </c>
      <c r="F26" s="3" t="s">
        <v>128</v>
      </c>
      <c r="G26" s="3" t="s">
        <v>131</v>
      </c>
      <c r="H26" s="4" t="s">
        <v>129</v>
      </c>
      <c r="I26" s="4" t="s">
        <v>130</v>
      </c>
      <c r="K26">
        <v>12</v>
      </c>
    </row>
    <row r="27" spans="1:11" x14ac:dyDescent="0.25">
      <c r="A27" s="3">
        <v>2011</v>
      </c>
      <c r="B27" s="3" t="s">
        <v>132</v>
      </c>
      <c r="C27" s="3" t="s">
        <v>127</v>
      </c>
      <c r="D27" s="3" t="s">
        <v>19</v>
      </c>
      <c r="E27" s="3" t="s">
        <v>15</v>
      </c>
      <c r="F27" s="3" t="s">
        <v>134</v>
      </c>
      <c r="G27" s="3" t="s">
        <v>133</v>
      </c>
      <c r="H27" s="4" t="s">
        <v>135</v>
      </c>
      <c r="I27" s="4" t="s">
        <v>143</v>
      </c>
      <c r="K27">
        <v>12</v>
      </c>
    </row>
    <row r="28" spans="1:11" x14ac:dyDescent="0.25">
      <c r="A28" s="3">
        <v>2012</v>
      </c>
      <c r="B28" s="3" t="s">
        <v>11</v>
      </c>
      <c r="C28" s="3" t="s">
        <v>127</v>
      </c>
      <c r="D28" s="3" t="s">
        <v>10</v>
      </c>
      <c r="E28" s="3" t="s">
        <v>16</v>
      </c>
      <c r="F28" s="3" t="s">
        <v>137</v>
      </c>
      <c r="G28" s="3" t="s">
        <v>138</v>
      </c>
      <c r="H28" s="4" t="s">
        <v>139</v>
      </c>
      <c r="I28" s="4" t="s">
        <v>141</v>
      </c>
      <c r="K28">
        <v>12</v>
      </c>
    </row>
    <row r="29" spans="1:11" x14ac:dyDescent="0.25">
      <c r="A29" s="3">
        <v>2013</v>
      </c>
      <c r="B29" s="3" t="s">
        <v>12</v>
      </c>
      <c r="C29" s="3" t="s">
        <v>15</v>
      </c>
      <c r="D29" s="3" t="s">
        <v>145</v>
      </c>
      <c r="E29" s="3" t="s">
        <v>16</v>
      </c>
      <c r="F29" s="3" t="s">
        <v>146</v>
      </c>
      <c r="G29" s="3" t="s">
        <v>147</v>
      </c>
      <c r="H29" s="4" t="s">
        <v>144</v>
      </c>
      <c r="I29" s="36" t="s">
        <v>192</v>
      </c>
      <c r="J29" t="s">
        <v>142</v>
      </c>
      <c r="K29">
        <v>12</v>
      </c>
    </row>
    <row r="30" spans="1:11" x14ac:dyDescent="0.25">
      <c r="A30" s="3">
        <v>2014</v>
      </c>
      <c r="B30" s="3" t="s">
        <v>43</v>
      </c>
      <c r="C30" s="3" t="s">
        <v>127</v>
      </c>
      <c r="D30" s="3" t="s">
        <v>16</v>
      </c>
      <c r="E30" s="3" t="s">
        <v>10</v>
      </c>
      <c r="F30" s="3" t="s">
        <v>153</v>
      </c>
      <c r="G30" s="3" t="s">
        <v>159</v>
      </c>
      <c r="H30" s="4" t="s">
        <v>154</v>
      </c>
      <c r="I30" s="4" t="s">
        <v>155</v>
      </c>
      <c r="K30">
        <v>12</v>
      </c>
    </row>
    <row r="31" spans="1:11" x14ac:dyDescent="0.25">
      <c r="A31" s="3">
        <v>2015</v>
      </c>
      <c r="B31" s="3" t="s">
        <v>43</v>
      </c>
      <c r="C31" s="3" t="s">
        <v>102</v>
      </c>
      <c r="D31" s="3" t="s">
        <v>156</v>
      </c>
      <c r="E31" s="3" t="s">
        <v>127</v>
      </c>
      <c r="F31" s="3" t="s">
        <v>163</v>
      </c>
      <c r="G31" s="3" t="s">
        <v>162</v>
      </c>
      <c r="H31" s="4" t="s">
        <v>161</v>
      </c>
      <c r="I31" s="36" t="s">
        <v>197</v>
      </c>
      <c r="K31">
        <v>12</v>
      </c>
    </row>
    <row r="32" spans="1:11" x14ac:dyDescent="0.25">
      <c r="A32" s="3">
        <v>2016</v>
      </c>
      <c r="B32" s="3" t="s">
        <v>165</v>
      </c>
      <c r="C32" s="3" t="s">
        <v>15</v>
      </c>
      <c r="D32" s="3" t="s">
        <v>16</v>
      </c>
      <c r="E32" s="3" t="s">
        <v>157</v>
      </c>
      <c r="F32" s="3" t="s">
        <v>166</v>
      </c>
      <c r="G32" s="3" t="s">
        <v>167</v>
      </c>
      <c r="H32" s="4" t="s">
        <v>168</v>
      </c>
      <c r="I32" s="36" t="s">
        <v>191</v>
      </c>
      <c r="K32">
        <v>12</v>
      </c>
    </row>
    <row r="33" spans="1:11" x14ac:dyDescent="0.25">
      <c r="A33" s="3">
        <v>2017</v>
      </c>
      <c r="B33" s="3" t="s">
        <v>127</v>
      </c>
      <c r="C33" s="3" t="s">
        <v>169</v>
      </c>
      <c r="D33" s="35" t="s">
        <v>156</v>
      </c>
      <c r="E33" s="3" t="s">
        <v>115</v>
      </c>
      <c r="F33" s="3" t="s">
        <v>171</v>
      </c>
      <c r="G33" s="3" t="s">
        <v>172</v>
      </c>
      <c r="H33" s="4" t="s">
        <v>170</v>
      </c>
      <c r="I33" s="36" t="s">
        <v>190</v>
      </c>
      <c r="J33" s="3" t="s">
        <v>176</v>
      </c>
      <c r="K33">
        <v>12</v>
      </c>
    </row>
    <row r="34" spans="1:11" x14ac:dyDescent="0.25">
      <c r="A34" s="3">
        <v>2018</v>
      </c>
      <c r="B34" s="3" t="s">
        <v>145</v>
      </c>
      <c r="C34" s="3" t="s">
        <v>174</v>
      </c>
      <c r="D34" s="3" t="s">
        <v>15</v>
      </c>
      <c r="E34" s="3" t="s">
        <v>127</v>
      </c>
      <c r="F34" s="3" t="s">
        <v>177</v>
      </c>
      <c r="G34" s="3" t="s">
        <v>178</v>
      </c>
      <c r="H34" s="4" t="s">
        <v>179</v>
      </c>
      <c r="I34" t="s">
        <v>186</v>
      </c>
      <c r="K34">
        <v>12</v>
      </c>
    </row>
    <row r="35" spans="1:11" x14ac:dyDescent="0.25">
      <c r="A35" s="3">
        <v>2019</v>
      </c>
      <c r="B35" s="35" t="s">
        <v>115</v>
      </c>
      <c r="C35" s="35" t="s">
        <v>127</v>
      </c>
      <c r="D35" s="35" t="s">
        <v>174</v>
      </c>
      <c r="E35" s="35" t="s">
        <v>15</v>
      </c>
      <c r="F35" s="35" t="s">
        <v>181</v>
      </c>
      <c r="G35" s="35" t="s">
        <v>182</v>
      </c>
      <c r="H35" s="36" t="s">
        <v>183</v>
      </c>
      <c r="I35" s="37" t="s">
        <v>184</v>
      </c>
      <c r="K35">
        <v>12</v>
      </c>
    </row>
    <row r="36" spans="1:11" x14ac:dyDescent="0.25">
      <c r="A36" s="3">
        <v>2020</v>
      </c>
      <c r="B36" s="35" t="s">
        <v>165</v>
      </c>
      <c r="C36" s="35" t="s">
        <v>174</v>
      </c>
      <c r="D36" s="35" t="s">
        <v>127</v>
      </c>
      <c r="E36" s="35" t="s">
        <v>71</v>
      </c>
      <c r="F36" s="35" t="s">
        <v>187</v>
      </c>
      <c r="G36" s="35" t="s">
        <v>188</v>
      </c>
      <c r="H36" s="36" t="s">
        <v>189</v>
      </c>
      <c r="I36" s="37" t="s">
        <v>193</v>
      </c>
      <c r="K36">
        <v>12</v>
      </c>
    </row>
    <row r="37" spans="1:11" x14ac:dyDescent="0.25">
      <c r="A37" s="3">
        <v>2021</v>
      </c>
      <c r="B37" s="35" t="s">
        <v>165</v>
      </c>
      <c r="C37" s="35" t="s">
        <v>156</v>
      </c>
      <c r="D37" s="35" t="s">
        <v>11</v>
      </c>
      <c r="E37" s="35" t="s">
        <v>157</v>
      </c>
      <c r="F37" s="35" t="s">
        <v>194</v>
      </c>
      <c r="G37" s="35" t="s">
        <v>199</v>
      </c>
      <c r="H37" s="36" t="s">
        <v>200</v>
      </c>
      <c r="I37" s="37" t="s">
        <v>198</v>
      </c>
      <c r="K37">
        <v>12</v>
      </c>
    </row>
    <row r="38" spans="1:11" x14ac:dyDescent="0.25">
      <c r="A38" s="3">
        <v>2022</v>
      </c>
      <c r="B38" s="35" t="s">
        <v>205</v>
      </c>
      <c r="C38" s="35" t="s">
        <v>205</v>
      </c>
      <c r="D38" s="35" t="s">
        <v>206</v>
      </c>
      <c r="E38" s="35" t="s">
        <v>206</v>
      </c>
      <c r="F38" s="35" t="s">
        <v>207</v>
      </c>
      <c r="G38" s="35" t="s">
        <v>208</v>
      </c>
      <c r="H38" s="36" t="s">
        <v>204</v>
      </c>
      <c r="I38" s="37" t="s">
        <v>209</v>
      </c>
      <c r="K38">
        <v>12</v>
      </c>
    </row>
    <row r="39" spans="1:11" x14ac:dyDescent="0.25">
      <c r="A39" s="58">
        <v>2023</v>
      </c>
      <c r="B39" s="59" t="s">
        <v>165</v>
      </c>
      <c r="C39" s="59" t="s">
        <v>156</v>
      </c>
      <c r="D39" s="59" t="s">
        <v>174</v>
      </c>
      <c r="E39" s="59" t="s">
        <v>11</v>
      </c>
      <c r="F39" s="59" t="s">
        <v>211</v>
      </c>
      <c r="G39" s="59" t="s">
        <v>212</v>
      </c>
      <c r="H39" s="60" t="s">
        <v>213</v>
      </c>
      <c r="I39" s="61" t="s">
        <v>210</v>
      </c>
      <c r="K39">
        <v>12</v>
      </c>
    </row>
    <row r="40" spans="1:11" x14ac:dyDescent="0.25">
      <c r="A40" s="26">
        <v>2024</v>
      </c>
      <c r="B40" s="32" t="s">
        <v>165</v>
      </c>
      <c r="C40" s="32" t="s">
        <v>201</v>
      </c>
      <c r="D40" s="32" t="s">
        <v>10</v>
      </c>
      <c r="E40" s="32" t="s">
        <v>174</v>
      </c>
      <c r="F40" s="32" t="s">
        <v>214</v>
      </c>
      <c r="G40" s="32" t="s">
        <v>215</v>
      </c>
      <c r="H40" s="33" t="s">
        <v>216</v>
      </c>
      <c r="I40" s="34" t="s">
        <v>217</v>
      </c>
      <c r="K40">
        <v>12</v>
      </c>
    </row>
    <row r="41" spans="1:11" x14ac:dyDescent="0.25">
      <c r="A41" s="3"/>
      <c r="B41" s="3"/>
      <c r="C41" s="3"/>
      <c r="D41" s="3"/>
      <c r="E41" s="3"/>
      <c r="F41" s="3"/>
      <c r="G41" s="3"/>
      <c r="H41" s="3"/>
    </row>
    <row r="42" spans="1:11" ht="13.5" thickBot="1" x14ac:dyDescent="0.35">
      <c r="A42" s="3"/>
      <c r="B42" s="1" t="s">
        <v>5</v>
      </c>
      <c r="C42" s="1" t="s">
        <v>1</v>
      </c>
      <c r="D42" s="1" t="s">
        <v>6</v>
      </c>
      <c r="E42" s="1" t="s">
        <v>4</v>
      </c>
      <c r="F42" s="1" t="s">
        <v>100</v>
      </c>
      <c r="G42" s="1" t="s">
        <v>103</v>
      </c>
      <c r="H42" s="1" t="s">
        <v>164</v>
      </c>
      <c r="J42" t="s">
        <v>149</v>
      </c>
      <c r="K42" s="8">
        <f>SUM(K4:K41)</f>
        <v>414</v>
      </c>
    </row>
    <row r="43" spans="1:11" ht="13.5" thickTop="1" x14ac:dyDescent="0.3">
      <c r="A43" s="3"/>
      <c r="B43" s="2" t="s">
        <v>2</v>
      </c>
      <c r="C43" s="2" t="s">
        <v>2</v>
      </c>
      <c r="D43" s="2" t="s">
        <v>2</v>
      </c>
      <c r="E43" s="2" t="s">
        <v>2</v>
      </c>
      <c r="F43" s="2" t="s">
        <v>101</v>
      </c>
      <c r="G43" s="2" t="s">
        <v>104</v>
      </c>
      <c r="H43" s="2" t="s">
        <v>104</v>
      </c>
    </row>
    <row r="44" spans="1:11" ht="13.5" thickBot="1" x14ac:dyDescent="0.35">
      <c r="A44" s="3"/>
      <c r="B44" s="3"/>
      <c r="C44" s="3"/>
      <c r="D44" s="3"/>
      <c r="E44" s="3"/>
      <c r="F44" s="2"/>
      <c r="G44" s="2"/>
      <c r="H44" s="2"/>
      <c r="J44" t="s">
        <v>150</v>
      </c>
      <c r="K44" s="20">
        <f>SUM('W-L Records'!E45:CV45)</f>
        <v>414</v>
      </c>
    </row>
    <row r="45" spans="1:11" ht="13" thickTop="1" x14ac:dyDescent="0.25">
      <c r="A45" t="s">
        <v>58</v>
      </c>
      <c r="B45" s="28">
        <v>7</v>
      </c>
      <c r="C45" s="3">
        <v>0</v>
      </c>
      <c r="D45" s="3">
        <v>2.5</v>
      </c>
      <c r="E45" s="3">
        <v>3.5</v>
      </c>
      <c r="F45" s="23">
        <f t="shared" ref="F45:F57" si="0">((+B45*2)+C45+D45)/(2*(B45+C45+D45+E45))</f>
        <v>0.63461538461538458</v>
      </c>
      <c r="G45" s="3">
        <f t="shared" ref="G45:G64" si="1">+B45+C45+D45+E45</f>
        <v>13</v>
      </c>
      <c r="H45" s="24">
        <f>+G45/'W-L Records'!Y45</f>
        <v>0.3611111111111111</v>
      </c>
      <c r="I45" s="37"/>
    </row>
    <row r="46" spans="1:11" x14ac:dyDescent="0.25">
      <c r="A46" t="s">
        <v>15</v>
      </c>
      <c r="B46" s="5">
        <v>5</v>
      </c>
      <c r="C46" s="3">
        <v>6</v>
      </c>
      <c r="D46" s="3">
        <v>3</v>
      </c>
      <c r="E46" s="3">
        <v>7</v>
      </c>
      <c r="F46" s="23">
        <f t="shared" si="0"/>
        <v>0.45238095238095238</v>
      </c>
      <c r="G46" s="3">
        <f t="shared" si="1"/>
        <v>21</v>
      </c>
      <c r="H46" s="27">
        <f>+G46/'W-L Records'!O45</f>
        <v>0.56756756756756754</v>
      </c>
      <c r="I46" s="37"/>
    </row>
    <row r="47" spans="1:11" x14ac:dyDescent="0.25">
      <c r="A47" s="37" t="s">
        <v>175</v>
      </c>
      <c r="B47" s="5">
        <v>5</v>
      </c>
      <c r="C47" s="3">
        <v>2</v>
      </c>
      <c r="D47" s="3">
        <v>0</v>
      </c>
      <c r="E47" s="3">
        <v>1</v>
      </c>
      <c r="F47" s="25">
        <f t="shared" si="0"/>
        <v>0.75</v>
      </c>
      <c r="G47" s="3">
        <f t="shared" si="1"/>
        <v>8</v>
      </c>
      <c r="H47" s="24">
        <f>+G47/'W-L Records'!BC45</f>
        <v>0.29629629629629628</v>
      </c>
      <c r="I47" s="37"/>
    </row>
    <row r="48" spans="1:11" x14ac:dyDescent="0.25">
      <c r="A48" s="4" t="s">
        <v>127</v>
      </c>
      <c r="B48" s="3">
        <v>4</v>
      </c>
      <c r="C48" s="3">
        <v>4</v>
      </c>
      <c r="D48" s="3">
        <v>4</v>
      </c>
      <c r="E48" s="3">
        <v>3</v>
      </c>
      <c r="F48" s="23">
        <f t="shared" si="0"/>
        <v>0.53333333333333333</v>
      </c>
      <c r="G48" s="3">
        <f t="shared" si="1"/>
        <v>15</v>
      </c>
      <c r="H48" s="24">
        <f>+G48/'W-L Records'!AD45</f>
        <v>0.44117647058823528</v>
      </c>
      <c r="I48" s="37"/>
    </row>
    <row r="49" spans="1:9" x14ac:dyDescent="0.25">
      <c r="A49" t="s">
        <v>20</v>
      </c>
      <c r="B49" s="5">
        <v>3</v>
      </c>
      <c r="C49" s="3">
        <v>1</v>
      </c>
      <c r="D49" s="3">
        <v>2</v>
      </c>
      <c r="E49" s="3">
        <v>2</v>
      </c>
      <c r="F49" s="23">
        <f t="shared" si="0"/>
        <v>0.5625</v>
      </c>
      <c r="G49" s="3">
        <f t="shared" si="1"/>
        <v>8</v>
      </c>
      <c r="H49" s="24">
        <f>+G49/'W-L Records'!T45</f>
        <v>0.22222222222222221</v>
      </c>
      <c r="I49" s="37"/>
    </row>
    <row r="50" spans="1:9" x14ac:dyDescent="0.25">
      <c r="A50" s="37" t="s">
        <v>174</v>
      </c>
      <c r="B50" s="5">
        <v>2.5</v>
      </c>
      <c r="C50" s="3">
        <v>2.5</v>
      </c>
      <c r="D50" s="3">
        <v>2</v>
      </c>
      <c r="E50" s="3">
        <v>3</v>
      </c>
      <c r="F50" s="23">
        <f t="shared" si="0"/>
        <v>0.47499999999999998</v>
      </c>
      <c r="G50" s="3">
        <f t="shared" si="1"/>
        <v>10</v>
      </c>
      <c r="H50" s="24">
        <f>+G50/'W-L Records'!AS45</f>
        <v>0.43478260869565216</v>
      </c>
      <c r="I50" s="37"/>
    </row>
    <row r="51" spans="1:9" x14ac:dyDescent="0.25">
      <c r="A51" t="s">
        <v>51</v>
      </c>
      <c r="B51" s="5">
        <v>2</v>
      </c>
      <c r="C51" s="3">
        <v>1</v>
      </c>
      <c r="D51" s="3">
        <v>2</v>
      </c>
      <c r="E51" s="3">
        <v>1</v>
      </c>
      <c r="F51" s="23">
        <f t="shared" si="0"/>
        <v>0.58333333333333337</v>
      </c>
      <c r="G51" s="3">
        <f t="shared" si="1"/>
        <v>6</v>
      </c>
      <c r="H51" s="24">
        <f>+G51/'W-L Records'!CL45</f>
        <v>0.46153846153846156</v>
      </c>
      <c r="I51" s="37"/>
    </row>
    <row r="52" spans="1:9" x14ac:dyDescent="0.25">
      <c r="A52" s="37" t="s">
        <v>71</v>
      </c>
      <c r="B52" s="5">
        <v>2</v>
      </c>
      <c r="C52" s="3">
        <v>4</v>
      </c>
      <c r="D52" s="3">
        <v>3</v>
      </c>
      <c r="E52" s="3">
        <v>4</v>
      </c>
      <c r="F52" s="23">
        <f t="shared" si="0"/>
        <v>0.42307692307692307</v>
      </c>
      <c r="G52" s="3">
        <f t="shared" si="1"/>
        <v>13</v>
      </c>
      <c r="H52" s="24">
        <f>+G52/'W-L Records'!E45</f>
        <v>0.38235294117647056</v>
      </c>
      <c r="I52" s="37"/>
    </row>
    <row r="53" spans="1:9" x14ac:dyDescent="0.25">
      <c r="A53" t="s">
        <v>102</v>
      </c>
      <c r="B53" s="5">
        <v>2</v>
      </c>
      <c r="C53" s="3">
        <v>1</v>
      </c>
      <c r="D53" s="3">
        <v>2</v>
      </c>
      <c r="E53" s="3">
        <v>0</v>
      </c>
      <c r="F53" s="23">
        <f t="shared" si="0"/>
        <v>0.7</v>
      </c>
      <c r="G53" s="3">
        <f t="shared" si="1"/>
        <v>5</v>
      </c>
      <c r="H53" s="24">
        <f>+G53/'W-L Records'!AN45</f>
        <v>0.21739130434782608</v>
      </c>
      <c r="I53" s="37"/>
    </row>
    <row r="54" spans="1:9" x14ac:dyDescent="0.25">
      <c r="A54" t="s">
        <v>10</v>
      </c>
      <c r="B54" s="5">
        <v>1</v>
      </c>
      <c r="C54" s="5">
        <v>7</v>
      </c>
      <c r="D54" s="5">
        <v>6.5</v>
      </c>
      <c r="E54" s="5">
        <v>5.5</v>
      </c>
      <c r="F54" s="23">
        <f t="shared" si="0"/>
        <v>0.38750000000000001</v>
      </c>
      <c r="G54" s="3">
        <f t="shared" si="1"/>
        <v>20</v>
      </c>
      <c r="H54" s="24">
        <f>+G54/'W-L Records'!J45</f>
        <v>0.54054054054054057</v>
      </c>
      <c r="I54" s="37"/>
    </row>
    <row r="55" spans="1:9" x14ac:dyDescent="0.25">
      <c r="A55" t="s">
        <v>11</v>
      </c>
      <c r="B55" s="5">
        <v>1</v>
      </c>
      <c r="C55" s="5">
        <v>1</v>
      </c>
      <c r="D55" s="5">
        <v>2</v>
      </c>
      <c r="E55" s="5">
        <v>2</v>
      </c>
      <c r="F55" s="23">
        <f t="shared" si="0"/>
        <v>0.41666666666666669</v>
      </c>
      <c r="G55" s="3">
        <f t="shared" si="1"/>
        <v>6</v>
      </c>
      <c r="H55" s="24">
        <f>+G55/'W-L Records'!AX45</f>
        <v>0.31578947368421051</v>
      </c>
      <c r="I55" s="37"/>
    </row>
    <row r="56" spans="1:9" x14ac:dyDescent="0.25">
      <c r="A56" t="s">
        <v>14</v>
      </c>
      <c r="B56" s="5">
        <v>1</v>
      </c>
      <c r="C56" s="3">
        <v>0</v>
      </c>
      <c r="D56" s="3">
        <v>1</v>
      </c>
      <c r="E56" s="3">
        <v>2</v>
      </c>
      <c r="F56" s="23">
        <f t="shared" si="0"/>
        <v>0.375</v>
      </c>
      <c r="G56" s="3">
        <f t="shared" si="1"/>
        <v>4</v>
      </c>
      <c r="H56" s="24">
        <f>+G56/'W-L Records'!CG45</f>
        <v>0.22222222222222221</v>
      </c>
      <c r="I56" s="37"/>
    </row>
    <row r="57" spans="1:9" x14ac:dyDescent="0.25">
      <c r="A57" t="s">
        <v>115</v>
      </c>
      <c r="B57" s="5">
        <v>1</v>
      </c>
      <c r="C57" s="3">
        <v>0</v>
      </c>
      <c r="D57" s="3">
        <v>0</v>
      </c>
      <c r="E57" s="3">
        <v>1</v>
      </c>
      <c r="F57" s="23">
        <f t="shared" si="0"/>
        <v>0.5</v>
      </c>
      <c r="G57" s="3">
        <f t="shared" si="1"/>
        <v>2</v>
      </c>
      <c r="H57" s="24">
        <f>+G57/'W-L Records'!BH45</f>
        <v>0.125</v>
      </c>
      <c r="I57" s="37"/>
    </row>
    <row r="58" spans="1:9" x14ac:dyDescent="0.25">
      <c r="A58" t="s">
        <v>201</v>
      </c>
      <c r="B58" s="5">
        <v>0.5</v>
      </c>
      <c r="C58" s="3">
        <v>1.5</v>
      </c>
      <c r="D58" s="3">
        <v>0</v>
      </c>
      <c r="E58" s="3">
        <v>0</v>
      </c>
      <c r="F58" s="23">
        <f>IFERROR(((+B58*2)+C58+D58)/(2*(B58+C58+D58+E58)),"N/A")</f>
        <v>0.625</v>
      </c>
      <c r="G58" s="3">
        <f t="shared" si="1"/>
        <v>2</v>
      </c>
      <c r="H58" s="24">
        <f>+G58/'W-L Records'!BM45</f>
        <v>0.5</v>
      </c>
      <c r="I58" s="37"/>
    </row>
    <row r="59" spans="1:9" x14ac:dyDescent="0.25">
      <c r="A59" t="s">
        <v>156</v>
      </c>
      <c r="B59" s="5">
        <v>0</v>
      </c>
      <c r="C59" s="3">
        <v>4</v>
      </c>
      <c r="D59" s="3">
        <v>4</v>
      </c>
      <c r="E59" s="3">
        <v>0</v>
      </c>
      <c r="F59" s="23">
        <f>((+B59*2)+C59+D59)/(2*(B59+C59+D59+E59))</f>
        <v>0.5</v>
      </c>
      <c r="G59" s="3">
        <f t="shared" si="1"/>
        <v>8</v>
      </c>
      <c r="H59" s="24">
        <f>+G59/'W-L Records'!AI45</f>
        <v>0.33333333333333331</v>
      </c>
      <c r="I59" s="37"/>
    </row>
    <row r="60" spans="1:9" x14ac:dyDescent="0.25">
      <c r="A60" t="s">
        <v>54</v>
      </c>
      <c r="B60" s="5">
        <v>0</v>
      </c>
      <c r="C60" s="3">
        <v>2</v>
      </c>
      <c r="D60" s="3">
        <v>2</v>
      </c>
      <c r="E60" s="3">
        <v>2</v>
      </c>
      <c r="F60" s="23">
        <f>((+B60*2)+C60+D60)/(2*(B60+C60+D60+E60))</f>
        <v>0.33333333333333331</v>
      </c>
      <c r="G60" s="3">
        <f t="shared" si="1"/>
        <v>6</v>
      </c>
      <c r="H60" s="24">
        <f>+G60/'W-L Records'!CB45</f>
        <v>0.2857142857142857</v>
      </c>
      <c r="I60" s="37"/>
    </row>
    <row r="61" spans="1:9" x14ac:dyDescent="0.25">
      <c r="A61" t="s">
        <v>36</v>
      </c>
      <c r="B61" s="5">
        <v>0</v>
      </c>
      <c r="C61" s="3">
        <v>0</v>
      </c>
      <c r="D61" s="3">
        <v>1</v>
      </c>
      <c r="E61" s="3">
        <v>0</v>
      </c>
      <c r="F61" s="23">
        <f>((+B61*2)+C61+D61)/(2*(B61+C61+D61+E61))</f>
        <v>0.5</v>
      </c>
      <c r="G61" s="3">
        <f t="shared" si="1"/>
        <v>1</v>
      </c>
      <c r="H61" s="24">
        <f>+G61/'W-L Records'!BW45</f>
        <v>0.16666666666666666</v>
      </c>
      <c r="I61" s="37"/>
    </row>
    <row r="62" spans="1:9" x14ac:dyDescent="0.25">
      <c r="A62" t="s">
        <v>202</v>
      </c>
      <c r="B62" s="5">
        <v>0</v>
      </c>
      <c r="C62" s="3">
        <v>0</v>
      </c>
      <c r="D62" s="3">
        <v>0</v>
      </c>
      <c r="E62" s="3">
        <v>0</v>
      </c>
      <c r="F62" s="23" t="str">
        <f>IFERROR(((+B62*2)+C62+D62)/(2*(B62+C62+D62+E62)),"N/A")</f>
        <v>N/A</v>
      </c>
      <c r="G62" s="3">
        <f t="shared" si="1"/>
        <v>0</v>
      </c>
      <c r="H62" s="24">
        <f>+G62/'W-L Records'!BR45</f>
        <v>0</v>
      </c>
      <c r="I62" s="37"/>
    </row>
    <row r="63" spans="1:9" x14ac:dyDescent="0.25">
      <c r="A63" t="s">
        <v>91</v>
      </c>
      <c r="B63" s="5">
        <v>0</v>
      </c>
      <c r="C63" s="3">
        <v>0</v>
      </c>
      <c r="D63" s="3">
        <v>0</v>
      </c>
      <c r="E63" s="3">
        <v>0</v>
      </c>
      <c r="F63" s="23" t="str">
        <f>IFERROR(((+B63*2)+C63+D63)/(2*(B63+C63+D63+E63)),"N/A")</f>
        <v>N/A</v>
      </c>
      <c r="G63" s="3">
        <f t="shared" si="1"/>
        <v>0</v>
      </c>
      <c r="H63" s="24">
        <f>+G63/'W-L Records'!CV45</f>
        <v>0</v>
      </c>
      <c r="I63" s="37"/>
    </row>
    <row r="64" spans="1:9" x14ac:dyDescent="0.25">
      <c r="A64" t="s">
        <v>94</v>
      </c>
      <c r="B64" s="5">
        <v>0</v>
      </c>
      <c r="C64" s="3">
        <v>0</v>
      </c>
      <c r="D64" s="3">
        <v>0</v>
      </c>
      <c r="E64" s="3">
        <v>0</v>
      </c>
      <c r="F64" s="23" t="str">
        <f>IFERROR(((+B64*2)+C64+D64)/(2*(B64+C64+D64+E64)),"N/A")</f>
        <v>N/A</v>
      </c>
      <c r="G64" s="3">
        <f t="shared" si="1"/>
        <v>0</v>
      </c>
      <c r="H64" s="24">
        <f>+G64/'W-L Records'!CQ45</f>
        <v>0</v>
      </c>
      <c r="I64" s="37"/>
    </row>
    <row r="65" spans="2:5" ht="13" thickBot="1" x14ac:dyDescent="0.3">
      <c r="B65" s="8">
        <f>SUM(B45:B64)</f>
        <v>37</v>
      </c>
      <c r="C65" s="8">
        <f>SUM(C45:C64)</f>
        <v>37</v>
      </c>
      <c r="D65" s="8">
        <f>SUM(D45:D64)</f>
        <v>37</v>
      </c>
      <c r="E65" s="8">
        <f>SUM(E45:E64)</f>
        <v>37</v>
      </c>
    </row>
    <row r="66" spans="2:5" ht="13" thickTop="1" x14ac:dyDescent="0.25"/>
    <row r="67" spans="2:5" x14ac:dyDescent="0.25">
      <c r="B67" t="s">
        <v>105</v>
      </c>
    </row>
    <row r="68" spans="2:5" x14ac:dyDescent="0.25">
      <c r="B68" t="s">
        <v>106</v>
      </c>
    </row>
    <row r="69" spans="2:5" x14ac:dyDescent="0.25">
      <c r="B69" t="s">
        <v>173</v>
      </c>
    </row>
    <row r="70" spans="2:5" x14ac:dyDescent="0.25">
      <c r="B70" t="s">
        <v>107</v>
      </c>
    </row>
  </sheetData>
  <sortState xmlns:xlrd2="http://schemas.microsoft.com/office/spreadsheetml/2017/richdata2" ref="A45:H64">
    <sortCondition descending="1" ref="B45:B64"/>
    <sortCondition descending="1" ref="H45:H64"/>
    <sortCondition descending="1" ref="F45:F64"/>
  </sortState>
  <phoneticPr fontId="4" type="noConversion"/>
  <pageMargins left="0.75" right="0.75" top="1" bottom="1" header="0.5" footer="0.5"/>
  <pageSetup scale="6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E60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I46" sqref="I46:J46"/>
    </sheetView>
  </sheetViews>
  <sheetFormatPr defaultRowHeight="12.5" x14ac:dyDescent="0.25"/>
  <cols>
    <col min="1" max="1" width="14.54296875" customWidth="1"/>
    <col min="2" max="2" width="3.81640625" customWidth="1"/>
    <col min="3" max="5" width="3.7265625" customWidth="1"/>
    <col min="6" max="6" width="4.26953125" customWidth="1"/>
    <col min="7" max="7" width="3.81640625" customWidth="1"/>
    <col min="8" max="10" width="3.7265625" customWidth="1"/>
    <col min="11" max="11" width="4.26953125" customWidth="1"/>
    <col min="12" max="12" width="3.81640625" customWidth="1"/>
    <col min="13" max="15" width="3.7265625" customWidth="1"/>
    <col min="16" max="16" width="4.26953125" customWidth="1"/>
    <col min="17" max="17" width="3.81640625" customWidth="1"/>
    <col min="18" max="20" width="3.7265625" customWidth="1"/>
    <col min="21" max="21" width="4.26953125" customWidth="1"/>
    <col min="22" max="22" width="3.81640625" customWidth="1"/>
    <col min="23" max="25" width="3.7265625" customWidth="1"/>
    <col min="26" max="26" width="4.26953125" customWidth="1"/>
    <col min="27" max="27" width="3.81640625" customWidth="1"/>
    <col min="28" max="30" width="3.7265625" customWidth="1"/>
    <col min="31" max="31" width="4.26953125" customWidth="1"/>
    <col min="32" max="32" width="4.81640625" customWidth="1"/>
    <col min="33" max="35" width="3.7265625" customWidth="1"/>
    <col min="36" max="36" width="4.26953125" customWidth="1"/>
    <col min="37" max="37" width="3.81640625" customWidth="1"/>
    <col min="38" max="40" width="3.7265625" customWidth="1"/>
    <col min="41" max="41" width="4.26953125" customWidth="1"/>
    <col min="42" max="42" width="3.81640625" customWidth="1"/>
    <col min="43" max="45" width="3.7265625" customWidth="1"/>
    <col min="46" max="46" width="4.26953125" customWidth="1"/>
    <col min="47" max="47" width="3.81640625" customWidth="1"/>
    <col min="48" max="50" width="3.7265625" customWidth="1"/>
    <col min="51" max="51" width="4.26953125" customWidth="1"/>
    <col min="52" max="52" width="3.81640625" customWidth="1"/>
    <col min="53" max="55" width="3.7265625" customWidth="1"/>
    <col min="56" max="56" width="4.26953125" customWidth="1"/>
    <col min="57" max="57" width="3.81640625" customWidth="1"/>
    <col min="58" max="60" width="3.7265625" customWidth="1"/>
    <col min="61" max="61" width="4.26953125" customWidth="1"/>
    <col min="62" max="62" width="3.81640625" customWidth="1"/>
    <col min="63" max="65" width="3.7265625" customWidth="1"/>
    <col min="66" max="66" width="4.26953125" customWidth="1"/>
    <col min="67" max="67" width="3.81640625" customWidth="1"/>
    <col min="68" max="70" width="3.7265625" customWidth="1"/>
    <col min="71" max="71" width="4.26953125" customWidth="1"/>
    <col min="72" max="72" width="3.81640625" customWidth="1"/>
    <col min="73" max="75" width="3.7265625" customWidth="1"/>
    <col min="76" max="76" width="4.26953125" customWidth="1"/>
    <col min="77" max="77" width="3.81640625" customWidth="1"/>
    <col min="78" max="80" width="3.7265625" customWidth="1"/>
    <col min="81" max="81" width="4.26953125" customWidth="1"/>
    <col min="82" max="82" width="3.81640625" customWidth="1"/>
    <col min="83" max="85" width="3.7265625" customWidth="1"/>
    <col min="86" max="86" width="4.26953125" customWidth="1"/>
    <col min="87" max="87" width="3.81640625" customWidth="1"/>
    <col min="88" max="90" width="3.7265625" customWidth="1"/>
    <col min="91" max="91" width="4.26953125" customWidth="1"/>
    <col min="92" max="92" width="3.81640625" customWidth="1"/>
    <col min="93" max="95" width="3.7265625" customWidth="1"/>
    <col min="96" max="96" width="4.26953125" customWidth="1"/>
    <col min="97" max="97" width="3.81640625" customWidth="1"/>
    <col min="98" max="100" width="3.7265625" customWidth="1"/>
    <col min="101" max="101" width="4.26953125" customWidth="1"/>
    <col min="102" max="104" width="3.81640625" customWidth="1"/>
    <col min="105" max="105" width="4.81640625" customWidth="1"/>
    <col min="106" max="108" width="3.81640625" customWidth="1"/>
    <col min="109" max="109" width="4.1796875" customWidth="1"/>
    <col min="110" max="143" width="3.81640625" customWidth="1"/>
  </cols>
  <sheetData>
    <row r="1" spans="1:109" ht="13" x14ac:dyDescent="0.3">
      <c r="B1" s="6"/>
      <c r="C1" s="57" t="s">
        <v>71</v>
      </c>
      <c r="D1" s="57"/>
      <c r="E1" s="57"/>
      <c r="F1" s="57"/>
      <c r="G1" s="6"/>
      <c r="H1" s="57" t="s">
        <v>10</v>
      </c>
      <c r="I1" s="57"/>
      <c r="J1" s="57"/>
      <c r="K1" s="57"/>
      <c r="L1" s="6"/>
      <c r="M1" s="57" t="s">
        <v>15</v>
      </c>
      <c r="N1" s="57"/>
      <c r="O1" s="57"/>
      <c r="P1" s="57"/>
      <c r="Q1" s="6"/>
      <c r="R1" s="57" t="s">
        <v>157</v>
      </c>
      <c r="S1" s="57"/>
      <c r="T1" s="57"/>
      <c r="U1" s="57"/>
      <c r="V1" s="6"/>
      <c r="W1" s="57" t="s">
        <v>58</v>
      </c>
      <c r="X1" s="57"/>
      <c r="Y1" s="57"/>
      <c r="Z1" s="57"/>
      <c r="AA1" s="6"/>
      <c r="AB1" s="57" t="s">
        <v>127</v>
      </c>
      <c r="AC1" s="57"/>
      <c r="AD1" s="57"/>
      <c r="AE1" s="57"/>
      <c r="AF1" s="6"/>
      <c r="AG1" s="57" t="s">
        <v>156</v>
      </c>
      <c r="AH1" s="57"/>
      <c r="AI1" s="57"/>
      <c r="AJ1" s="57"/>
      <c r="AK1" s="6"/>
      <c r="AL1" s="57" t="s">
        <v>102</v>
      </c>
      <c r="AM1" s="57"/>
      <c r="AN1" s="57"/>
      <c r="AO1" s="57"/>
      <c r="AP1" s="6"/>
      <c r="AQ1" s="57" t="s">
        <v>174</v>
      </c>
      <c r="AR1" s="57"/>
      <c r="AS1" s="57"/>
      <c r="AT1" s="57"/>
      <c r="AU1" s="6"/>
      <c r="AV1" s="57" t="s">
        <v>11</v>
      </c>
      <c r="AW1" s="57"/>
      <c r="AX1" s="57"/>
      <c r="AY1" s="57"/>
      <c r="AZ1" s="6"/>
      <c r="BA1" s="57" t="s">
        <v>42</v>
      </c>
      <c r="BB1" s="57"/>
      <c r="BC1" s="57"/>
      <c r="BD1" s="57"/>
      <c r="BE1" s="6"/>
      <c r="BF1" s="57" t="s">
        <v>115</v>
      </c>
      <c r="BG1" s="57"/>
      <c r="BH1" s="57"/>
      <c r="BI1" s="57"/>
      <c r="BJ1" s="6"/>
      <c r="BK1" s="57" t="s">
        <v>201</v>
      </c>
      <c r="BL1" s="57"/>
      <c r="BM1" s="57"/>
      <c r="BN1" s="57"/>
      <c r="BO1" s="6"/>
      <c r="BP1" s="57" t="s">
        <v>202</v>
      </c>
      <c r="BQ1" s="57"/>
      <c r="BR1" s="57"/>
      <c r="BS1" s="57"/>
      <c r="BT1" s="6"/>
      <c r="BU1" s="57" t="s">
        <v>36</v>
      </c>
      <c r="BV1" s="57"/>
      <c r="BW1" s="57"/>
      <c r="BX1" s="57"/>
      <c r="BY1" s="6"/>
      <c r="BZ1" s="57" t="s">
        <v>13</v>
      </c>
      <c r="CA1" s="57"/>
      <c r="CB1" s="57"/>
      <c r="CC1" s="57"/>
      <c r="CD1" s="6"/>
      <c r="CE1" s="57" t="s">
        <v>14</v>
      </c>
      <c r="CF1" s="57"/>
      <c r="CG1" s="57"/>
      <c r="CH1" s="57"/>
      <c r="CI1" s="6"/>
      <c r="CJ1" s="57" t="s">
        <v>51</v>
      </c>
      <c r="CK1" s="57"/>
      <c r="CL1" s="57"/>
      <c r="CM1" s="57"/>
      <c r="CN1" s="6"/>
      <c r="CO1" s="57" t="s">
        <v>94</v>
      </c>
      <c r="CP1" s="57"/>
      <c r="CQ1" s="57"/>
      <c r="CR1" s="57"/>
      <c r="CS1" s="6"/>
      <c r="CT1" s="57" t="s">
        <v>91</v>
      </c>
      <c r="CU1" s="57"/>
      <c r="CV1" s="57"/>
      <c r="CW1" s="57"/>
      <c r="CX1" s="6"/>
      <c r="CZ1" s="2" t="s">
        <v>158</v>
      </c>
      <c r="DA1" s="2" t="s">
        <v>41</v>
      </c>
      <c r="DB1" s="2" t="s">
        <v>180</v>
      </c>
      <c r="DE1" s="2" t="s">
        <v>203</v>
      </c>
    </row>
    <row r="2" spans="1:109" x14ac:dyDescent="0.25">
      <c r="B2" s="6"/>
      <c r="C2" s="9" t="s">
        <v>38</v>
      </c>
      <c r="D2" s="9" t="s">
        <v>39</v>
      </c>
      <c r="E2" s="9" t="s">
        <v>40</v>
      </c>
      <c r="F2" s="9" t="s">
        <v>152</v>
      </c>
      <c r="G2" s="10" t="s">
        <v>41</v>
      </c>
      <c r="H2" s="5" t="s">
        <v>38</v>
      </c>
      <c r="I2" s="5" t="s">
        <v>39</v>
      </c>
      <c r="J2" s="5" t="s">
        <v>40</v>
      </c>
      <c r="K2" s="9" t="s">
        <v>152</v>
      </c>
      <c r="L2" s="10" t="s">
        <v>41</v>
      </c>
      <c r="M2" s="5" t="s">
        <v>38</v>
      </c>
      <c r="N2" s="5" t="s">
        <v>39</v>
      </c>
      <c r="O2" s="5" t="s">
        <v>40</v>
      </c>
      <c r="P2" s="9" t="s">
        <v>152</v>
      </c>
      <c r="Q2" s="10" t="s">
        <v>41</v>
      </c>
      <c r="R2" s="5" t="s">
        <v>38</v>
      </c>
      <c r="S2" s="5" t="s">
        <v>39</v>
      </c>
      <c r="T2" s="5" t="s">
        <v>40</v>
      </c>
      <c r="U2" s="9" t="s">
        <v>152</v>
      </c>
      <c r="V2" s="10" t="s">
        <v>41</v>
      </c>
      <c r="W2" s="5" t="s">
        <v>38</v>
      </c>
      <c r="X2" s="5" t="s">
        <v>39</v>
      </c>
      <c r="Y2" s="5" t="s">
        <v>40</v>
      </c>
      <c r="Z2" s="9" t="s">
        <v>152</v>
      </c>
      <c r="AA2" s="10" t="s">
        <v>41</v>
      </c>
      <c r="AB2" s="5" t="s">
        <v>38</v>
      </c>
      <c r="AC2" s="5" t="s">
        <v>39</v>
      </c>
      <c r="AD2" s="5" t="s">
        <v>40</v>
      </c>
      <c r="AE2" s="9" t="s">
        <v>152</v>
      </c>
      <c r="AF2" s="10" t="s">
        <v>41</v>
      </c>
      <c r="AG2" s="5" t="s">
        <v>38</v>
      </c>
      <c r="AH2" s="5" t="s">
        <v>39</v>
      </c>
      <c r="AI2" s="5" t="s">
        <v>40</v>
      </c>
      <c r="AJ2" s="9" t="s">
        <v>152</v>
      </c>
      <c r="AK2" s="10" t="s">
        <v>41</v>
      </c>
      <c r="AL2" s="5" t="s">
        <v>38</v>
      </c>
      <c r="AM2" s="5" t="s">
        <v>39</v>
      </c>
      <c r="AN2" s="5" t="s">
        <v>40</v>
      </c>
      <c r="AO2" s="9" t="s">
        <v>152</v>
      </c>
      <c r="AP2" s="10" t="s">
        <v>41</v>
      </c>
      <c r="AQ2" s="5" t="s">
        <v>38</v>
      </c>
      <c r="AR2" s="5" t="s">
        <v>39</v>
      </c>
      <c r="AS2" s="5" t="s">
        <v>40</v>
      </c>
      <c r="AT2" s="9" t="s">
        <v>152</v>
      </c>
      <c r="AU2" s="10" t="s">
        <v>41</v>
      </c>
      <c r="AV2" s="5" t="s">
        <v>38</v>
      </c>
      <c r="AW2" s="5" t="s">
        <v>39</v>
      </c>
      <c r="AX2" s="5" t="s">
        <v>40</v>
      </c>
      <c r="AY2" s="9" t="s">
        <v>152</v>
      </c>
      <c r="AZ2" s="10" t="s">
        <v>41</v>
      </c>
      <c r="BA2" s="5" t="s">
        <v>38</v>
      </c>
      <c r="BB2" s="5" t="s">
        <v>39</v>
      </c>
      <c r="BC2" s="5" t="s">
        <v>40</v>
      </c>
      <c r="BD2" s="9" t="s">
        <v>152</v>
      </c>
      <c r="BE2" s="10" t="s">
        <v>41</v>
      </c>
      <c r="BF2" s="5" t="s">
        <v>38</v>
      </c>
      <c r="BG2" s="5" t="s">
        <v>39</v>
      </c>
      <c r="BH2" s="5" t="s">
        <v>40</v>
      </c>
      <c r="BI2" s="9" t="s">
        <v>152</v>
      </c>
      <c r="BJ2" s="10" t="s">
        <v>41</v>
      </c>
      <c r="BK2" s="5" t="s">
        <v>38</v>
      </c>
      <c r="BL2" s="5" t="s">
        <v>39</v>
      </c>
      <c r="BM2" s="5" t="s">
        <v>40</v>
      </c>
      <c r="BN2" s="9" t="s">
        <v>152</v>
      </c>
      <c r="BO2" s="10" t="s">
        <v>41</v>
      </c>
      <c r="BP2" s="5" t="s">
        <v>38</v>
      </c>
      <c r="BQ2" s="5" t="s">
        <v>39</v>
      </c>
      <c r="BR2" s="5" t="s">
        <v>40</v>
      </c>
      <c r="BS2" s="9" t="s">
        <v>152</v>
      </c>
      <c r="BT2" s="10" t="s">
        <v>41</v>
      </c>
      <c r="BU2" s="5" t="s">
        <v>38</v>
      </c>
      <c r="BV2" s="5" t="s">
        <v>39</v>
      </c>
      <c r="BW2" s="5" t="s">
        <v>40</v>
      </c>
      <c r="BX2" s="9" t="s">
        <v>152</v>
      </c>
      <c r="BY2" s="10" t="s">
        <v>41</v>
      </c>
      <c r="BZ2" s="5" t="s">
        <v>38</v>
      </c>
      <c r="CA2" s="5" t="s">
        <v>39</v>
      </c>
      <c r="CB2" s="5" t="s">
        <v>40</v>
      </c>
      <c r="CC2" s="9" t="s">
        <v>152</v>
      </c>
      <c r="CD2" s="10" t="s">
        <v>41</v>
      </c>
      <c r="CE2" s="5" t="s">
        <v>38</v>
      </c>
      <c r="CF2" s="5" t="s">
        <v>39</v>
      </c>
      <c r="CG2" s="5" t="s">
        <v>40</v>
      </c>
      <c r="CH2" s="9" t="s">
        <v>152</v>
      </c>
      <c r="CI2" s="10" t="s">
        <v>41</v>
      </c>
      <c r="CJ2" s="5" t="s">
        <v>38</v>
      </c>
      <c r="CK2" s="5" t="s">
        <v>39</v>
      </c>
      <c r="CL2" s="5" t="s">
        <v>40</v>
      </c>
      <c r="CM2" s="9" t="s">
        <v>152</v>
      </c>
      <c r="CN2" s="10" t="s">
        <v>41</v>
      </c>
      <c r="CO2" s="5" t="s">
        <v>38</v>
      </c>
      <c r="CP2" s="5" t="s">
        <v>39</v>
      </c>
      <c r="CQ2" s="5" t="s">
        <v>40</v>
      </c>
      <c r="CR2" s="9" t="s">
        <v>152</v>
      </c>
      <c r="CS2" s="10" t="s">
        <v>41</v>
      </c>
      <c r="CT2" s="5" t="s">
        <v>38</v>
      </c>
      <c r="CU2" s="5" t="s">
        <v>39</v>
      </c>
      <c r="CV2" s="5" t="s">
        <v>40</v>
      </c>
      <c r="CW2" s="9" t="s">
        <v>152</v>
      </c>
      <c r="CX2" s="10" t="s">
        <v>41</v>
      </c>
    </row>
    <row r="3" spans="1:109" x14ac:dyDescent="0.25">
      <c r="A3" s="3">
        <v>1988</v>
      </c>
      <c r="B3" s="7"/>
      <c r="C3">
        <v>9</v>
      </c>
      <c r="D3">
        <v>5</v>
      </c>
      <c r="E3">
        <v>0</v>
      </c>
      <c r="G3" s="6">
        <v>508</v>
      </c>
      <c r="H3">
        <v>5</v>
      </c>
      <c r="I3">
        <v>8</v>
      </c>
      <c r="J3">
        <v>1</v>
      </c>
      <c r="L3" s="6">
        <v>646</v>
      </c>
      <c r="M3">
        <v>6</v>
      </c>
      <c r="N3">
        <v>7</v>
      </c>
      <c r="O3">
        <v>1</v>
      </c>
      <c r="Q3" s="6">
        <v>462</v>
      </c>
      <c r="V3" s="6"/>
      <c r="AA3" s="6"/>
      <c r="AF3" s="6"/>
      <c r="AK3" s="6"/>
      <c r="AP3" s="6"/>
      <c r="AU3" s="6"/>
      <c r="AZ3" s="6"/>
      <c r="BA3">
        <v>7</v>
      </c>
      <c r="BB3">
        <v>7</v>
      </c>
      <c r="BC3">
        <v>0</v>
      </c>
      <c r="BE3" s="6">
        <v>599</v>
      </c>
      <c r="BJ3" s="6"/>
      <c r="BO3" s="6"/>
      <c r="BT3" s="6"/>
      <c r="BY3" s="6"/>
      <c r="BZ3">
        <v>12</v>
      </c>
      <c r="CA3">
        <v>2</v>
      </c>
      <c r="CB3">
        <v>0</v>
      </c>
      <c r="CD3" s="6">
        <v>768</v>
      </c>
      <c r="CE3">
        <v>8</v>
      </c>
      <c r="CF3">
        <v>5</v>
      </c>
      <c r="CG3">
        <v>1</v>
      </c>
      <c r="CI3" s="6">
        <v>477</v>
      </c>
      <c r="CJ3">
        <v>3</v>
      </c>
      <c r="CK3">
        <v>10</v>
      </c>
      <c r="CL3">
        <v>1</v>
      </c>
      <c r="CN3" s="6">
        <v>436</v>
      </c>
      <c r="CS3" s="6"/>
      <c r="CT3">
        <v>4</v>
      </c>
      <c r="CU3">
        <v>10</v>
      </c>
      <c r="CV3">
        <v>0</v>
      </c>
      <c r="CX3" s="6">
        <v>482</v>
      </c>
      <c r="CZ3">
        <v>8</v>
      </c>
      <c r="DA3">
        <f>+G3+L3+Q3+V3+AA3+AF3+AK3+AP3+AU3+AZ3+BE3+BJ3+BO3+BT3+BY3+CD3+CI3+CN3+CS3+CX3</f>
        <v>4378</v>
      </c>
      <c r="DB3">
        <f>+DA3/CZ3</f>
        <v>547.25</v>
      </c>
    </row>
    <row r="4" spans="1:109" x14ac:dyDescent="0.25">
      <c r="A4" s="3">
        <v>1989</v>
      </c>
      <c r="B4" s="7"/>
      <c r="C4">
        <v>5</v>
      </c>
      <c r="D4">
        <v>9</v>
      </c>
      <c r="E4">
        <v>0</v>
      </c>
      <c r="G4" s="6">
        <v>565</v>
      </c>
      <c r="H4">
        <v>7</v>
      </c>
      <c r="I4">
        <v>7</v>
      </c>
      <c r="J4">
        <v>0</v>
      </c>
      <c r="L4" s="6">
        <v>644</v>
      </c>
      <c r="M4">
        <v>5</v>
      </c>
      <c r="N4">
        <v>9</v>
      </c>
      <c r="O4">
        <v>0</v>
      </c>
      <c r="Q4" s="6">
        <v>565</v>
      </c>
      <c r="R4">
        <v>8</v>
      </c>
      <c r="S4">
        <v>6</v>
      </c>
      <c r="T4">
        <v>0</v>
      </c>
      <c r="V4" s="6">
        <v>593</v>
      </c>
      <c r="W4">
        <v>8</v>
      </c>
      <c r="X4">
        <v>6</v>
      </c>
      <c r="Y4">
        <v>0</v>
      </c>
      <c r="AA4" s="6">
        <v>647</v>
      </c>
      <c r="AF4" s="6"/>
      <c r="AK4" s="6"/>
      <c r="AP4" s="6"/>
      <c r="AU4" s="6"/>
      <c r="AZ4" s="6"/>
      <c r="BA4">
        <v>5</v>
      </c>
      <c r="BB4">
        <v>9</v>
      </c>
      <c r="BC4">
        <v>0</v>
      </c>
      <c r="BE4" s="6">
        <v>591</v>
      </c>
      <c r="BJ4" s="6"/>
      <c r="BO4" s="6"/>
      <c r="BT4" s="6"/>
      <c r="BY4" s="6"/>
      <c r="BZ4">
        <v>9</v>
      </c>
      <c r="CA4">
        <v>5</v>
      </c>
      <c r="CB4">
        <v>0</v>
      </c>
      <c r="CD4" s="6">
        <v>722</v>
      </c>
      <c r="CE4">
        <v>6</v>
      </c>
      <c r="CF4">
        <v>8</v>
      </c>
      <c r="CG4">
        <v>0</v>
      </c>
      <c r="CI4" s="6">
        <v>567</v>
      </c>
      <c r="CJ4">
        <v>9</v>
      </c>
      <c r="CK4">
        <v>5</v>
      </c>
      <c r="CL4">
        <v>0</v>
      </c>
      <c r="CN4" s="6">
        <v>707</v>
      </c>
      <c r="CO4">
        <v>8</v>
      </c>
      <c r="CP4">
        <v>6</v>
      </c>
      <c r="CQ4">
        <v>0</v>
      </c>
      <c r="CS4" s="6">
        <v>565</v>
      </c>
      <c r="CX4" s="6"/>
      <c r="CZ4">
        <v>10</v>
      </c>
      <c r="DA4">
        <f t="shared" ref="DA4:DA20" si="0">+G4+L4+Q4+V4+AA4+AF4+AK4+AP4+AU4+AZ4+BE4+BJ4+BO4+BT4+BY4+CD4+CI4+CN4+CS4+CX4</f>
        <v>6166</v>
      </c>
      <c r="DB4">
        <f t="shared" ref="DB4:DB33" si="1">+DA4/CZ4</f>
        <v>616.6</v>
      </c>
    </row>
    <row r="5" spans="1:109" x14ac:dyDescent="0.25">
      <c r="A5" s="3">
        <v>1990</v>
      </c>
      <c r="B5" s="7"/>
      <c r="C5">
        <v>8</v>
      </c>
      <c r="D5">
        <v>7</v>
      </c>
      <c r="E5">
        <v>0</v>
      </c>
      <c r="G5" s="6">
        <v>704</v>
      </c>
      <c r="H5">
        <v>10</v>
      </c>
      <c r="I5">
        <v>4</v>
      </c>
      <c r="J5">
        <v>1</v>
      </c>
      <c r="L5" s="6">
        <v>741</v>
      </c>
      <c r="M5">
        <v>8</v>
      </c>
      <c r="N5">
        <v>7</v>
      </c>
      <c r="O5">
        <v>0</v>
      </c>
      <c r="Q5" s="6">
        <v>583</v>
      </c>
      <c r="R5">
        <v>6</v>
      </c>
      <c r="S5">
        <v>9</v>
      </c>
      <c r="T5">
        <v>0</v>
      </c>
      <c r="V5" s="6">
        <v>566</v>
      </c>
      <c r="W5">
        <v>7</v>
      </c>
      <c r="X5">
        <v>7</v>
      </c>
      <c r="Y5">
        <v>1</v>
      </c>
      <c r="AA5" s="6">
        <v>604</v>
      </c>
      <c r="AF5" s="6"/>
      <c r="AK5" s="6"/>
      <c r="AP5" s="6"/>
      <c r="AU5" s="6"/>
      <c r="AZ5" s="6"/>
      <c r="BA5">
        <v>10</v>
      </c>
      <c r="BB5">
        <v>5</v>
      </c>
      <c r="BC5">
        <v>0</v>
      </c>
      <c r="BE5" s="6">
        <v>708</v>
      </c>
      <c r="BJ5" s="6"/>
      <c r="BO5" s="6"/>
      <c r="BT5" s="6"/>
      <c r="BY5" s="6"/>
      <c r="BZ5">
        <v>6</v>
      </c>
      <c r="CA5">
        <v>9</v>
      </c>
      <c r="CB5">
        <v>0</v>
      </c>
      <c r="CD5" s="6">
        <v>529</v>
      </c>
      <c r="CE5">
        <v>9</v>
      </c>
      <c r="CF5">
        <v>6</v>
      </c>
      <c r="CG5">
        <v>0</v>
      </c>
      <c r="CI5" s="6">
        <v>689</v>
      </c>
      <c r="CJ5">
        <v>7</v>
      </c>
      <c r="CK5">
        <v>6</v>
      </c>
      <c r="CL5">
        <v>2</v>
      </c>
      <c r="CN5" s="6">
        <v>716</v>
      </c>
      <c r="CO5">
        <v>2</v>
      </c>
      <c r="CP5">
        <v>13</v>
      </c>
      <c r="CQ5">
        <v>0</v>
      </c>
      <c r="CS5" s="6">
        <v>425</v>
      </c>
      <c r="CX5" s="6"/>
      <c r="CZ5">
        <v>10</v>
      </c>
      <c r="DA5">
        <f t="shared" si="0"/>
        <v>6265</v>
      </c>
      <c r="DB5">
        <f t="shared" si="1"/>
        <v>626.5</v>
      </c>
    </row>
    <row r="6" spans="1:109" x14ac:dyDescent="0.25">
      <c r="A6" s="3">
        <v>1991</v>
      </c>
      <c r="B6" s="7"/>
      <c r="C6">
        <v>9</v>
      </c>
      <c r="D6">
        <v>5</v>
      </c>
      <c r="E6">
        <v>1</v>
      </c>
      <c r="G6" s="6">
        <v>763</v>
      </c>
      <c r="H6">
        <v>9</v>
      </c>
      <c r="I6">
        <v>6</v>
      </c>
      <c r="J6">
        <v>0</v>
      </c>
      <c r="L6" s="6">
        <v>619</v>
      </c>
      <c r="M6">
        <v>8</v>
      </c>
      <c r="N6">
        <v>7</v>
      </c>
      <c r="O6">
        <v>0</v>
      </c>
      <c r="Q6" s="6">
        <v>635</v>
      </c>
      <c r="R6">
        <v>7</v>
      </c>
      <c r="S6">
        <v>8</v>
      </c>
      <c r="T6">
        <v>0</v>
      </c>
      <c r="V6" s="6">
        <v>581</v>
      </c>
      <c r="W6">
        <v>10</v>
      </c>
      <c r="X6">
        <v>4</v>
      </c>
      <c r="Y6">
        <v>1</v>
      </c>
      <c r="AA6" s="6">
        <v>586</v>
      </c>
      <c r="AB6">
        <v>3</v>
      </c>
      <c r="AC6">
        <v>12</v>
      </c>
      <c r="AD6">
        <v>0</v>
      </c>
      <c r="AF6" s="6">
        <v>450</v>
      </c>
      <c r="AK6" s="6"/>
      <c r="AP6" s="6"/>
      <c r="AU6" s="6"/>
      <c r="AZ6" s="6"/>
      <c r="BA6">
        <v>8</v>
      </c>
      <c r="BB6">
        <v>7</v>
      </c>
      <c r="BC6">
        <v>0</v>
      </c>
      <c r="BE6" s="6">
        <v>644</v>
      </c>
      <c r="BJ6" s="6"/>
      <c r="BO6" s="6"/>
      <c r="BT6" s="6"/>
      <c r="BY6" s="6"/>
      <c r="BZ6">
        <v>7</v>
      </c>
      <c r="CA6">
        <v>8</v>
      </c>
      <c r="CB6">
        <v>0</v>
      </c>
      <c r="CD6" s="6">
        <v>555</v>
      </c>
      <c r="CE6">
        <v>5</v>
      </c>
      <c r="CF6">
        <v>10</v>
      </c>
      <c r="CG6">
        <v>0</v>
      </c>
      <c r="CI6" s="6">
        <v>533</v>
      </c>
      <c r="CJ6">
        <v>8</v>
      </c>
      <c r="CK6">
        <v>7</v>
      </c>
      <c r="CL6">
        <v>0</v>
      </c>
      <c r="CN6" s="6">
        <v>682</v>
      </c>
      <c r="CS6" s="6"/>
      <c r="CX6" s="6"/>
      <c r="CZ6">
        <v>10</v>
      </c>
      <c r="DA6">
        <f t="shared" si="0"/>
        <v>6048</v>
      </c>
      <c r="DB6">
        <f t="shared" si="1"/>
        <v>604.79999999999995</v>
      </c>
    </row>
    <row r="7" spans="1:109" x14ac:dyDescent="0.25">
      <c r="A7" s="3">
        <v>1992</v>
      </c>
      <c r="B7" s="7"/>
      <c r="C7">
        <v>9</v>
      </c>
      <c r="D7">
        <v>6</v>
      </c>
      <c r="E7">
        <v>0</v>
      </c>
      <c r="G7" s="6">
        <v>670</v>
      </c>
      <c r="H7">
        <v>7</v>
      </c>
      <c r="I7">
        <v>7</v>
      </c>
      <c r="J7">
        <v>1</v>
      </c>
      <c r="L7" s="6">
        <v>743</v>
      </c>
      <c r="M7">
        <v>12</v>
      </c>
      <c r="N7">
        <v>2</v>
      </c>
      <c r="O7">
        <v>1</v>
      </c>
      <c r="Q7" s="6">
        <v>757</v>
      </c>
      <c r="R7">
        <v>7</v>
      </c>
      <c r="S7">
        <v>8</v>
      </c>
      <c r="T7">
        <v>0</v>
      </c>
      <c r="V7" s="6">
        <v>548</v>
      </c>
      <c r="W7">
        <v>7</v>
      </c>
      <c r="X7">
        <v>8</v>
      </c>
      <c r="Y7">
        <v>0</v>
      </c>
      <c r="AA7" s="6">
        <v>638</v>
      </c>
      <c r="AB7">
        <v>8</v>
      </c>
      <c r="AC7">
        <v>7</v>
      </c>
      <c r="AD7">
        <v>0</v>
      </c>
      <c r="AF7" s="6">
        <v>669</v>
      </c>
      <c r="AK7" s="6"/>
      <c r="AP7" s="6"/>
      <c r="AU7" s="6"/>
      <c r="AZ7" s="6"/>
      <c r="BA7">
        <v>8</v>
      </c>
      <c r="BB7">
        <v>7</v>
      </c>
      <c r="BC7">
        <v>0</v>
      </c>
      <c r="BE7" s="6">
        <v>713</v>
      </c>
      <c r="BJ7" s="6"/>
      <c r="BO7" s="6"/>
      <c r="BT7" s="6"/>
      <c r="BY7" s="6"/>
      <c r="BZ7">
        <v>7</v>
      </c>
      <c r="CA7">
        <v>8</v>
      </c>
      <c r="CB7">
        <v>0</v>
      </c>
      <c r="CD7" s="6">
        <v>640</v>
      </c>
      <c r="CE7">
        <v>6</v>
      </c>
      <c r="CF7">
        <v>9</v>
      </c>
      <c r="CG7">
        <v>0</v>
      </c>
      <c r="CI7" s="6">
        <v>539</v>
      </c>
      <c r="CJ7">
        <v>3</v>
      </c>
      <c r="CK7">
        <v>12</v>
      </c>
      <c r="CL7">
        <v>0</v>
      </c>
      <c r="CN7" s="6">
        <v>559</v>
      </c>
      <c r="CS7" s="6"/>
      <c r="CX7" s="6"/>
      <c r="CZ7">
        <v>10</v>
      </c>
      <c r="DA7">
        <f t="shared" si="0"/>
        <v>6476</v>
      </c>
      <c r="DB7">
        <f t="shared" si="1"/>
        <v>647.6</v>
      </c>
    </row>
    <row r="8" spans="1:109" x14ac:dyDescent="0.25">
      <c r="A8" s="3">
        <v>1993</v>
      </c>
      <c r="B8" s="7"/>
      <c r="C8">
        <v>6</v>
      </c>
      <c r="D8">
        <v>9</v>
      </c>
      <c r="E8">
        <v>1</v>
      </c>
      <c r="G8" s="6">
        <v>647</v>
      </c>
      <c r="H8">
        <v>10</v>
      </c>
      <c r="I8">
        <v>5</v>
      </c>
      <c r="J8">
        <v>1</v>
      </c>
      <c r="L8" s="6">
        <v>705</v>
      </c>
      <c r="M8">
        <v>9</v>
      </c>
      <c r="N8">
        <v>7</v>
      </c>
      <c r="O8">
        <v>0</v>
      </c>
      <c r="Q8" s="6">
        <v>745</v>
      </c>
      <c r="R8">
        <v>8</v>
      </c>
      <c r="S8">
        <v>8</v>
      </c>
      <c r="T8">
        <v>0</v>
      </c>
      <c r="V8" s="6">
        <v>616</v>
      </c>
      <c r="W8">
        <v>7</v>
      </c>
      <c r="X8">
        <v>9</v>
      </c>
      <c r="Y8">
        <v>0</v>
      </c>
      <c r="AA8" s="6">
        <v>621</v>
      </c>
      <c r="AB8">
        <v>5</v>
      </c>
      <c r="AC8">
        <v>11</v>
      </c>
      <c r="AD8">
        <v>0</v>
      </c>
      <c r="AF8" s="6">
        <v>534</v>
      </c>
      <c r="AK8" s="6"/>
      <c r="AP8" s="6"/>
      <c r="AU8" s="6"/>
      <c r="AZ8" s="6"/>
      <c r="BA8">
        <v>9</v>
      </c>
      <c r="BB8">
        <v>7</v>
      </c>
      <c r="BC8">
        <v>0</v>
      </c>
      <c r="BE8" s="6">
        <v>629</v>
      </c>
      <c r="BJ8" s="6"/>
      <c r="BO8" s="6"/>
      <c r="BT8" s="6"/>
      <c r="BY8" s="6"/>
      <c r="BZ8">
        <v>10</v>
      </c>
      <c r="CA8">
        <v>6</v>
      </c>
      <c r="CB8">
        <v>0</v>
      </c>
      <c r="CD8" s="6">
        <v>612</v>
      </c>
      <c r="CE8">
        <v>6</v>
      </c>
      <c r="CF8">
        <v>10</v>
      </c>
      <c r="CG8">
        <v>0</v>
      </c>
      <c r="CI8" s="6">
        <v>532</v>
      </c>
      <c r="CJ8">
        <v>9</v>
      </c>
      <c r="CK8">
        <v>7</v>
      </c>
      <c r="CL8">
        <v>0</v>
      </c>
      <c r="CN8" s="6">
        <v>670</v>
      </c>
      <c r="CS8" s="6"/>
      <c r="CX8" s="6"/>
      <c r="CZ8">
        <v>10</v>
      </c>
      <c r="DA8">
        <f t="shared" si="0"/>
        <v>6311</v>
      </c>
      <c r="DB8">
        <f t="shared" si="1"/>
        <v>631.1</v>
      </c>
    </row>
    <row r="9" spans="1:109" x14ac:dyDescent="0.25">
      <c r="A9" s="3">
        <v>1994</v>
      </c>
      <c r="B9" s="7"/>
      <c r="C9">
        <v>5</v>
      </c>
      <c r="D9">
        <v>10</v>
      </c>
      <c r="E9">
        <v>0</v>
      </c>
      <c r="G9" s="6">
        <v>636</v>
      </c>
      <c r="H9">
        <v>10</v>
      </c>
      <c r="I9">
        <v>5</v>
      </c>
      <c r="J9">
        <v>0</v>
      </c>
      <c r="L9" s="6">
        <v>781</v>
      </c>
      <c r="M9">
        <v>11</v>
      </c>
      <c r="N9">
        <v>4</v>
      </c>
      <c r="O9">
        <v>0</v>
      </c>
      <c r="Q9" s="6">
        <v>943</v>
      </c>
      <c r="R9">
        <v>4</v>
      </c>
      <c r="S9">
        <v>11</v>
      </c>
      <c r="T9">
        <v>0</v>
      </c>
      <c r="V9" s="6">
        <v>632</v>
      </c>
      <c r="W9">
        <v>2</v>
      </c>
      <c r="X9">
        <v>10</v>
      </c>
      <c r="Y9">
        <v>1</v>
      </c>
      <c r="AA9" s="6">
        <v>549</v>
      </c>
      <c r="AB9">
        <v>8</v>
      </c>
      <c r="AC9">
        <v>7</v>
      </c>
      <c r="AD9">
        <v>0</v>
      </c>
      <c r="AF9" s="6">
        <v>622</v>
      </c>
      <c r="AK9" s="6"/>
      <c r="AP9" s="6"/>
      <c r="AU9" s="6"/>
      <c r="AZ9" s="6"/>
      <c r="BA9">
        <v>8</v>
      </c>
      <c r="BB9">
        <v>7</v>
      </c>
      <c r="BC9">
        <v>0</v>
      </c>
      <c r="BE9" s="6">
        <v>734</v>
      </c>
      <c r="BJ9" s="6"/>
      <c r="BO9" s="6"/>
      <c r="BT9" s="6"/>
      <c r="BY9" s="6"/>
      <c r="BZ9">
        <v>11</v>
      </c>
      <c r="CA9">
        <v>4</v>
      </c>
      <c r="CB9">
        <v>0</v>
      </c>
      <c r="CD9" s="6">
        <v>654</v>
      </c>
      <c r="CE9">
        <v>5</v>
      </c>
      <c r="CF9">
        <v>10</v>
      </c>
      <c r="CG9">
        <v>0</v>
      </c>
      <c r="CI9" s="6">
        <v>572</v>
      </c>
      <c r="CJ9">
        <v>10</v>
      </c>
      <c r="CK9">
        <v>4</v>
      </c>
      <c r="CL9">
        <v>1</v>
      </c>
      <c r="CN9" s="6">
        <v>750</v>
      </c>
      <c r="CS9" s="6"/>
      <c r="CX9" s="6"/>
      <c r="CZ9">
        <v>10</v>
      </c>
      <c r="DA9">
        <f t="shared" si="0"/>
        <v>6873</v>
      </c>
      <c r="DB9">
        <f t="shared" si="1"/>
        <v>687.3</v>
      </c>
    </row>
    <row r="10" spans="1:109" x14ac:dyDescent="0.25">
      <c r="A10" s="3">
        <v>1995</v>
      </c>
      <c r="B10" s="7"/>
      <c r="C10">
        <v>7</v>
      </c>
      <c r="D10">
        <v>8</v>
      </c>
      <c r="E10">
        <v>0</v>
      </c>
      <c r="G10" s="6">
        <v>756</v>
      </c>
      <c r="H10">
        <v>10</v>
      </c>
      <c r="I10">
        <v>5</v>
      </c>
      <c r="J10">
        <v>0</v>
      </c>
      <c r="L10" s="6">
        <v>969</v>
      </c>
      <c r="M10">
        <v>8</v>
      </c>
      <c r="N10">
        <v>7</v>
      </c>
      <c r="O10">
        <v>0</v>
      </c>
      <c r="Q10" s="6">
        <v>802</v>
      </c>
      <c r="R10">
        <v>9</v>
      </c>
      <c r="S10">
        <v>6</v>
      </c>
      <c r="T10">
        <v>0</v>
      </c>
      <c r="V10" s="6">
        <v>737</v>
      </c>
      <c r="W10">
        <v>9</v>
      </c>
      <c r="X10">
        <v>6</v>
      </c>
      <c r="Y10">
        <v>0</v>
      </c>
      <c r="AA10" s="6">
        <v>765</v>
      </c>
      <c r="AB10">
        <v>4</v>
      </c>
      <c r="AC10">
        <v>10</v>
      </c>
      <c r="AD10">
        <v>1</v>
      </c>
      <c r="AF10" s="6">
        <v>591</v>
      </c>
      <c r="AK10" s="6"/>
      <c r="AP10" s="6"/>
      <c r="AU10" s="6"/>
      <c r="AZ10" s="6"/>
      <c r="BA10">
        <v>8</v>
      </c>
      <c r="BB10">
        <v>7</v>
      </c>
      <c r="BC10">
        <v>0</v>
      </c>
      <c r="BE10" s="6">
        <v>783</v>
      </c>
      <c r="BJ10" s="6"/>
      <c r="BO10" s="6"/>
      <c r="BT10" s="6"/>
      <c r="BY10" s="6"/>
      <c r="BZ10">
        <v>4</v>
      </c>
      <c r="CA10">
        <v>11</v>
      </c>
      <c r="CB10">
        <v>0</v>
      </c>
      <c r="CD10" s="6">
        <v>609</v>
      </c>
      <c r="CE10">
        <v>4</v>
      </c>
      <c r="CF10">
        <v>10</v>
      </c>
      <c r="CG10">
        <v>1</v>
      </c>
      <c r="CI10" s="6">
        <v>624</v>
      </c>
      <c r="CJ10">
        <v>11</v>
      </c>
      <c r="CK10">
        <v>4</v>
      </c>
      <c r="CL10">
        <v>0</v>
      </c>
      <c r="CN10" s="6">
        <v>879</v>
      </c>
      <c r="CS10" s="6"/>
      <c r="CX10" s="6"/>
      <c r="CZ10">
        <v>10</v>
      </c>
      <c r="DA10">
        <f t="shared" si="0"/>
        <v>7515</v>
      </c>
      <c r="DB10">
        <f t="shared" si="1"/>
        <v>751.5</v>
      </c>
    </row>
    <row r="11" spans="1:109" x14ac:dyDescent="0.25">
      <c r="A11" s="3">
        <v>1996</v>
      </c>
      <c r="B11" s="7"/>
      <c r="C11">
        <v>6</v>
      </c>
      <c r="D11">
        <v>8</v>
      </c>
      <c r="E11">
        <v>1</v>
      </c>
      <c r="G11" s="6">
        <v>550</v>
      </c>
      <c r="H11">
        <v>13</v>
      </c>
      <c r="I11">
        <v>2</v>
      </c>
      <c r="J11">
        <v>0</v>
      </c>
      <c r="L11" s="6">
        <v>917</v>
      </c>
      <c r="M11">
        <v>6</v>
      </c>
      <c r="N11">
        <v>9</v>
      </c>
      <c r="O11">
        <v>0</v>
      </c>
      <c r="Q11" s="6">
        <v>620</v>
      </c>
      <c r="R11">
        <v>9</v>
      </c>
      <c r="S11">
        <v>6</v>
      </c>
      <c r="T11">
        <v>0</v>
      </c>
      <c r="V11" s="6">
        <v>913</v>
      </c>
      <c r="W11">
        <v>8</v>
      </c>
      <c r="X11">
        <v>7</v>
      </c>
      <c r="Y11">
        <v>0</v>
      </c>
      <c r="AA11" s="6">
        <v>730</v>
      </c>
      <c r="AB11">
        <v>4</v>
      </c>
      <c r="AC11">
        <v>10</v>
      </c>
      <c r="AD11">
        <v>1</v>
      </c>
      <c r="AF11" s="6">
        <v>541</v>
      </c>
      <c r="AK11" s="6"/>
      <c r="AP11" s="6"/>
      <c r="AU11" s="6"/>
      <c r="AZ11" s="6"/>
      <c r="BA11">
        <v>8</v>
      </c>
      <c r="BB11">
        <v>7</v>
      </c>
      <c r="BC11">
        <v>0</v>
      </c>
      <c r="BE11" s="6">
        <v>888</v>
      </c>
      <c r="BJ11" s="6"/>
      <c r="BO11" s="6"/>
      <c r="BT11" s="6"/>
      <c r="BY11" s="6"/>
      <c r="BZ11">
        <v>6</v>
      </c>
      <c r="CA11">
        <v>9</v>
      </c>
      <c r="CB11">
        <v>0</v>
      </c>
      <c r="CD11" s="6">
        <v>632</v>
      </c>
      <c r="CE11">
        <v>5</v>
      </c>
      <c r="CF11">
        <v>10</v>
      </c>
      <c r="CG11">
        <v>0</v>
      </c>
      <c r="CI11" s="6">
        <v>579</v>
      </c>
      <c r="CJ11">
        <v>9</v>
      </c>
      <c r="CK11">
        <v>6</v>
      </c>
      <c r="CL11">
        <v>0</v>
      </c>
      <c r="CN11" s="6">
        <v>815</v>
      </c>
      <c r="CS11" s="6"/>
      <c r="CX11" s="6"/>
      <c r="CZ11">
        <v>10</v>
      </c>
      <c r="DA11">
        <f t="shared" si="0"/>
        <v>7185</v>
      </c>
      <c r="DB11">
        <f t="shared" si="1"/>
        <v>718.5</v>
      </c>
    </row>
    <row r="12" spans="1:109" x14ac:dyDescent="0.25">
      <c r="A12" s="3">
        <v>1997</v>
      </c>
      <c r="B12" s="7"/>
      <c r="C12">
        <v>3</v>
      </c>
      <c r="D12">
        <v>10</v>
      </c>
      <c r="E12">
        <v>2</v>
      </c>
      <c r="G12" s="6">
        <v>634</v>
      </c>
      <c r="H12">
        <v>8</v>
      </c>
      <c r="I12">
        <v>7</v>
      </c>
      <c r="J12">
        <v>0</v>
      </c>
      <c r="L12" s="6">
        <v>739</v>
      </c>
      <c r="M12">
        <v>6</v>
      </c>
      <c r="N12">
        <v>8</v>
      </c>
      <c r="O12">
        <v>1</v>
      </c>
      <c r="Q12" s="6">
        <v>691</v>
      </c>
      <c r="R12">
        <v>8</v>
      </c>
      <c r="S12">
        <v>7</v>
      </c>
      <c r="T12">
        <v>0</v>
      </c>
      <c r="V12" s="6">
        <v>808</v>
      </c>
      <c r="W12">
        <v>8</v>
      </c>
      <c r="X12">
        <v>6</v>
      </c>
      <c r="Y12">
        <v>1</v>
      </c>
      <c r="AA12" s="6">
        <v>720</v>
      </c>
      <c r="AB12">
        <v>6</v>
      </c>
      <c r="AC12">
        <v>9</v>
      </c>
      <c r="AD12">
        <v>0</v>
      </c>
      <c r="AF12" s="6">
        <v>607</v>
      </c>
      <c r="AK12" s="6"/>
      <c r="AP12" s="6"/>
      <c r="AU12" s="6"/>
      <c r="AZ12" s="6"/>
      <c r="BA12">
        <v>10</v>
      </c>
      <c r="BB12">
        <v>5</v>
      </c>
      <c r="BC12">
        <v>0</v>
      </c>
      <c r="BE12" s="6">
        <v>699</v>
      </c>
      <c r="BJ12" s="6"/>
      <c r="BO12" s="6"/>
      <c r="BT12" s="6"/>
      <c r="BY12" s="6"/>
      <c r="BZ12">
        <v>6</v>
      </c>
      <c r="CA12">
        <v>9</v>
      </c>
      <c r="CB12">
        <v>0</v>
      </c>
      <c r="CD12" s="6">
        <v>643</v>
      </c>
      <c r="CE12">
        <v>8</v>
      </c>
      <c r="CF12">
        <v>7</v>
      </c>
      <c r="CG12">
        <v>0</v>
      </c>
      <c r="CI12" s="6">
        <v>636</v>
      </c>
      <c r="CJ12">
        <v>10</v>
      </c>
      <c r="CK12">
        <v>5</v>
      </c>
      <c r="CL12">
        <v>0</v>
      </c>
      <c r="CN12" s="6">
        <v>829</v>
      </c>
      <c r="CS12" s="6"/>
      <c r="CX12" s="6"/>
      <c r="CZ12">
        <v>10</v>
      </c>
      <c r="DA12">
        <f t="shared" si="0"/>
        <v>7006</v>
      </c>
      <c r="DB12">
        <f t="shared" si="1"/>
        <v>700.6</v>
      </c>
    </row>
    <row r="13" spans="1:109" x14ac:dyDescent="0.25">
      <c r="A13" s="3">
        <v>1998</v>
      </c>
      <c r="B13" s="7"/>
      <c r="C13">
        <v>2</v>
      </c>
      <c r="D13">
        <v>13</v>
      </c>
      <c r="E13">
        <v>0</v>
      </c>
      <c r="G13" s="6">
        <v>539</v>
      </c>
      <c r="H13">
        <v>10</v>
      </c>
      <c r="I13">
        <v>5</v>
      </c>
      <c r="J13">
        <v>0</v>
      </c>
      <c r="L13" s="6">
        <v>852</v>
      </c>
      <c r="M13">
        <v>10</v>
      </c>
      <c r="N13">
        <v>5</v>
      </c>
      <c r="O13">
        <v>0</v>
      </c>
      <c r="Q13" s="6">
        <v>934</v>
      </c>
      <c r="R13">
        <v>10</v>
      </c>
      <c r="S13">
        <v>5</v>
      </c>
      <c r="T13">
        <v>0</v>
      </c>
      <c r="V13" s="6">
        <v>932</v>
      </c>
      <c r="W13">
        <v>9</v>
      </c>
      <c r="X13">
        <v>6</v>
      </c>
      <c r="Y13">
        <v>0</v>
      </c>
      <c r="AA13" s="6">
        <v>716</v>
      </c>
      <c r="AB13">
        <v>7</v>
      </c>
      <c r="AC13">
        <v>8</v>
      </c>
      <c r="AD13">
        <v>0</v>
      </c>
      <c r="AF13" s="6">
        <v>629</v>
      </c>
      <c r="AK13" s="6"/>
      <c r="AP13" s="6"/>
      <c r="AU13" s="6"/>
      <c r="AZ13" s="6"/>
      <c r="BA13">
        <v>8</v>
      </c>
      <c r="BB13">
        <v>7</v>
      </c>
      <c r="BC13">
        <v>0</v>
      </c>
      <c r="BE13" s="6">
        <v>774</v>
      </c>
      <c r="BJ13" s="6"/>
      <c r="BO13" s="6"/>
      <c r="BT13" s="6"/>
      <c r="BY13" s="6"/>
      <c r="BZ13">
        <v>8</v>
      </c>
      <c r="CA13">
        <v>7</v>
      </c>
      <c r="CB13">
        <v>0</v>
      </c>
      <c r="CD13" s="6">
        <v>607</v>
      </c>
      <c r="CE13">
        <v>5</v>
      </c>
      <c r="CF13">
        <v>10</v>
      </c>
      <c r="CG13">
        <v>0</v>
      </c>
      <c r="CI13" s="6">
        <v>638</v>
      </c>
      <c r="CJ13">
        <v>6</v>
      </c>
      <c r="CK13">
        <v>9</v>
      </c>
      <c r="CL13">
        <v>0</v>
      </c>
      <c r="CN13" s="6">
        <v>595</v>
      </c>
      <c r="CS13" s="6"/>
      <c r="CX13" s="6"/>
      <c r="CZ13">
        <v>10</v>
      </c>
      <c r="DA13">
        <f t="shared" si="0"/>
        <v>7216</v>
      </c>
      <c r="DB13">
        <f t="shared" si="1"/>
        <v>721.6</v>
      </c>
    </row>
    <row r="14" spans="1:109" x14ac:dyDescent="0.25">
      <c r="A14" s="3">
        <v>1999</v>
      </c>
      <c r="B14" s="7"/>
      <c r="C14">
        <v>7</v>
      </c>
      <c r="D14">
        <v>6</v>
      </c>
      <c r="E14">
        <v>2</v>
      </c>
      <c r="G14" s="6">
        <v>744</v>
      </c>
      <c r="H14">
        <v>8</v>
      </c>
      <c r="I14">
        <v>7</v>
      </c>
      <c r="J14">
        <v>0</v>
      </c>
      <c r="L14" s="6">
        <v>786</v>
      </c>
      <c r="M14">
        <v>9</v>
      </c>
      <c r="N14">
        <v>6</v>
      </c>
      <c r="O14">
        <v>0</v>
      </c>
      <c r="Q14" s="6">
        <v>718</v>
      </c>
      <c r="R14">
        <v>13</v>
      </c>
      <c r="S14">
        <v>2</v>
      </c>
      <c r="T14">
        <v>0</v>
      </c>
      <c r="V14" s="6">
        <v>902</v>
      </c>
      <c r="W14">
        <v>8</v>
      </c>
      <c r="X14">
        <v>6</v>
      </c>
      <c r="Y14">
        <v>1</v>
      </c>
      <c r="AA14" s="6">
        <v>744</v>
      </c>
      <c r="AB14">
        <v>5</v>
      </c>
      <c r="AC14">
        <v>9</v>
      </c>
      <c r="AD14">
        <v>1</v>
      </c>
      <c r="AF14" s="6">
        <v>617</v>
      </c>
      <c r="AK14" s="6"/>
      <c r="AP14" s="6"/>
      <c r="AU14" s="6"/>
      <c r="AZ14" s="6"/>
      <c r="BA14">
        <v>6</v>
      </c>
      <c r="BB14">
        <v>9</v>
      </c>
      <c r="BC14">
        <v>0</v>
      </c>
      <c r="BE14" s="6">
        <v>537</v>
      </c>
      <c r="BJ14" s="6"/>
      <c r="BO14" s="6"/>
      <c r="BT14" s="6"/>
      <c r="BY14" s="6"/>
      <c r="BZ14">
        <v>3</v>
      </c>
      <c r="CA14">
        <v>11</v>
      </c>
      <c r="CB14">
        <v>1</v>
      </c>
      <c r="CD14" s="6">
        <v>599</v>
      </c>
      <c r="CE14">
        <v>6</v>
      </c>
      <c r="CF14">
        <v>8</v>
      </c>
      <c r="CG14">
        <v>1</v>
      </c>
      <c r="CI14" s="6">
        <v>528</v>
      </c>
      <c r="CJ14">
        <v>7</v>
      </c>
      <c r="CK14">
        <v>8</v>
      </c>
      <c r="CL14">
        <v>0</v>
      </c>
      <c r="CN14" s="6">
        <v>677</v>
      </c>
      <c r="CS14" s="6"/>
      <c r="CX14" s="6"/>
      <c r="CZ14">
        <v>10</v>
      </c>
      <c r="DA14">
        <f t="shared" si="0"/>
        <v>6852</v>
      </c>
      <c r="DB14">
        <f t="shared" si="1"/>
        <v>685.2</v>
      </c>
    </row>
    <row r="15" spans="1:109" x14ac:dyDescent="0.25">
      <c r="A15" s="3">
        <v>2000</v>
      </c>
      <c r="B15" s="7"/>
      <c r="C15">
        <v>7</v>
      </c>
      <c r="D15">
        <v>7</v>
      </c>
      <c r="E15">
        <v>1</v>
      </c>
      <c r="G15" s="6">
        <v>831</v>
      </c>
      <c r="H15">
        <v>9</v>
      </c>
      <c r="I15">
        <v>5</v>
      </c>
      <c r="J15">
        <v>1</v>
      </c>
      <c r="L15" s="6">
        <v>916</v>
      </c>
      <c r="M15">
        <v>10</v>
      </c>
      <c r="N15">
        <v>5</v>
      </c>
      <c r="O15">
        <v>0</v>
      </c>
      <c r="Q15" s="6">
        <v>924</v>
      </c>
      <c r="R15">
        <v>7</v>
      </c>
      <c r="S15">
        <v>8</v>
      </c>
      <c r="T15">
        <v>0</v>
      </c>
      <c r="V15" s="6">
        <v>743</v>
      </c>
      <c r="W15">
        <v>10</v>
      </c>
      <c r="X15">
        <v>4</v>
      </c>
      <c r="Y15">
        <v>1</v>
      </c>
      <c r="AA15" s="6">
        <v>974</v>
      </c>
      <c r="AB15">
        <v>8</v>
      </c>
      <c r="AC15">
        <v>6</v>
      </c>
      <c r="AD15">
        <v>1</v>
      </c>
      <c r="AF15" s="6">
        <v>890</v>
      </c>
      <c r="AK15" s="6"/>
      <c r="AP15" s="6"/>
      <c r="AU15" s="6"/>
      <c r="AZ15" s="6"/>
      <c r="BA15">
        <v>7</v>
      </c>
      <c r="BB15">
        <v>8</v>
      </c>
      <c r="BC15">
        <v>0</v>
      </c>
      <c r="BE15" s="6">
        <v>648</v>
      </c>
      <c r="BJ15" s="6"/>
      <c r="BO15" s="6"/>
      <c r="BT15" s="6"/>
      <c r="BY15" s="6"/>
      <c r="BZ15">
        <v>5</v>
      </c>
      <c r="CA15">
        <v>10</v>
      </c>
      <c r="CB15">
        <v>0</v>
      </c>
      <c r="CD15" s="6">
        <v>632</v>
      </c>
      <c r="CE15">
        <v>5</v>
      </c>
      <c r="CF15">
        <v>10</v>
      </c>
      <c r="CG15">
        <v>0</v>
      </c>
      <c r="CI15" s="6">
        <v>652</v>
      </c>
      <c r="CJ15">
        <v>5</v>
      </c>
      <c r="CK15">
        <v>10</v>
      </c>
      <c r="CL15">
        <v>0</v>
      </c>
      <c r="CN15" s="6">
        <v>616</v>
      </c>
      <c r="CS15" s="6"/>
      <c r="CX15" s="6"/>
      <c r="CZ15">
        <v>10</v>
      </c>
      <c r="DA15">
        <f t="shared" si="0"/>
        <v>7826</v>
      </c>
      <c r="DB15">
        <f t="shared" si="1"/>
        <v>782.6</v>
      </c>
    </row>
    <row r="16" spans="1:109" x14ac:dyDescent="0.25">
      <c r="A16" s="3">
        <v>2001</v>
      </c>
      <c r="B16" s="7"/>
      <c r="C16">
        <v>6</v>
      </c>
      <c r="D16">
        <v>9</v>
      </c>
      <c r="E16">
        <v>0</v>
      </c>
      <c r="G16" s="6">
        <v>725</v>
      </c>
      <c r="H16">
        <v>13</v>
      </c>
      <c r="I16">
        <v>2</v>
      </c>
      <c r="J16">
        <v>0</v>
      </c>
      <c r="L16" s="6">
        <v>953</v>
      </c>
      <c r="M16">
        <v>8</v>
      </c>
      <c r="N16">
        <v>7</v>
      </c>
      <c r="O16">
        <v>0</v>
      </c>
      <c r="Q16" s="6">
        <v>801</v>
      </c>
      <c r="R16">
        <v>7</v>
      </c>
      <c r="S16">
        <v>8</v>
      </c>
      <c r="T16">
        <v>0</v>
      </c>
      <c r="V16" s="6">
        <v>817</v>
      </c>
      <c r="W16">
        <v>11</v>
      </c>
      <c r="X16">
        <v>4</v>
      </c>
      <c r="Y16">
        <v>0</v>
      </c>
      <c r="AA16" s="6">
        <v>816</v>
      </c>
      <c r="AB16">
        <v>11</v>
      </c>
      <c r="AC16">
        <v>4</v>
      </c>
      <c r="AD16">
        <v>0</v>
      </c>
      <c r="AF16" s="6">
        <v>809</v>
      </c>
      <c r="AG16">
        <v>3</v>
      </c>
      <c r="AH16">
        <v>12</v>
      </c>
      <c r="AI16">
        <v>0</v>
      </c>
      <c r="AK16" s="6">
        <v>526</v>
      </c>
      <c r="AP16" s="6"/>
      <c r="AU16" s="6"/>
      <c r="AZ16" s="6"/>
      <c r="BA16">
        <v>6</v>
      </c>
      <c r="BB16">
        <v>9</v>
      </c>
      <c r="BC16">
        <v>0</v>
      </c>
      <c r="BE16" s="6">
        <v>653</v>
      </c>
      <c r="BJ16" s="6"/>
      <c r="BO16" s="6"/>
      <c r="BT16" s="6"/>
      <c r="BY16" s="6"/>
      <c r="BZ16">
        <v>8</v>
      </c>
      <c r="CA16">
        <v>7</v>
      </c>
      <c r="CB16">
        <v>0</v>
      </c>
      <c r="CD16" s="6">
        <v>659</v>
      </c>
      <c r="CE16">
        <v>2</v>
      </c>
      <c r="CF16">
        <v>13</v>
      </c>
      <c r="CG16">
        <v>0</v>
      </c>
      <c r="CI16" s="6">
        <v>594</v>
      </c>
      <c r="CN16" s="6"/>
      <c r="CS16" s="6"/>
      <c r="CX16" s="6"/>
      <c r="CZ16">
        <v>10</v>
      </c>
      <c r="DA16">
        <f t="shared" si="0"/>
        <v>7353</v>
      </c>
      <c r="DB16">
        <f t="shared" si="1"/>
        <v>735.3</v>
      </c>
    </row>
    <row r="17" spans="1:109" x14ac:dyDescent="0.25">
      <c r="A17" s="3">
        <v>2002</v>
      </c>
      <c r="B17" s="7"/>
      <c r="C17">
        <v>9</v>
      </c>
      <c r="D17">
        <v>6</v>
      </c>
      <c r="E17">
        <v>0</v>
      </c>
      <c r="G17" s="6">
        <v>764</v>
      </c>
      <c r="H17">
        <v>10</v>
      </c>
      <c r="I17">
        <v>5</v>
      </c>
      <c r="J17">
        <v>0</v>
      </c>
      <c r="L17" s="6">
        <v>886</v>
      </c>
      <c r="M17">
        <v>5</v>
      </c>
      <c r="N17">
        <v>10</v>
      </c>
      <c r="O17">
        <v>0</v>
      </c>
      <c r="Q17" s="6">
        <v>659</v>
      </c>
      <c r="R17">
        <v>10</v>
      </c>
      <c r="S17">
        <v>5</v>
      </c>
      <c r="T17">
        <v>0</v>
      </c>
      <c r="V17" s="6">
        <v>734</v>
      </c>
      <c r="W17">
        <v>5</v>
      </c>
      <c r="X17">
        <v>10</v>
      </c>
      <c r="Y17">
        <v>0</v>
      </c>
      <c r="AA17" s="6">
        <v>668</v>
      </c>
      <c r="AB17">
        <v>7</v>
      </c>
      <c r="AC17">
        <v>7</v>
      </c>
      <c r="AD17">
        <v>1</v>
      </c>
      <c r="AF17" s="6">
        <v>713</v>
      </c>
      <c r="AG17">
        <v>10</v>
      </c>
      <c r="AH17">
        <v>5</v>
      </c>
      <c r="AI17">
        <v>0</v>
      </c>
      <c r="AK17" s="6">
        <v>818</v>
      </c>
      <c r="AL17">
        <v>11</v>
      </c>
      <c r="AM17">
        <v>3</v>
      </c>
      <c r="AN17">
        <v>1</v>
      </c>
      <c r="AP17" s="6">
        <v>879</v>
      </c>
      <c r="AQ17">
        <v>7</v>
      </c>
      <c r="AR17">
        <v>8</v>
      </c>
      <c r="AS17">
        <v>0</v>
      </c>
      <c r="AU17" s="6">
        <v>717</v>
      </c>
      <c r="AZ17" s="6"/>
      <c r="BA17">
        <v>4</v>
      </c>
      <c r="BB17">
        <v>11</v>
      </c>
      <c r="BC17">
        <v>0</v>
      </c>
      <c r="BE17" s="6">
        <v>615</v>
      </c>
      <c r="BJ17" s="6"/>
      <c r="BO17" s="6"/>
      <c r="BT17" s="6"/>
      <c r="BY17" s="6"/>
      <c r="BZ17">
        <v>6</v>
      </c>
      <c r="CA17">
        <v>9</v>
      </c>
      <c r="CB17">
        <v>0</v>
      </c>
      <c r="CD17" s="6">
        <v>735</v>
      </c>
      <c r="CE17">
        <v>5</v>
      </c>
      <c r="CF17">
        <v>10</v>
      </c>
      <c r="CG17">
        <v>0</v>
      </c>
      <c r="CI17" s="6">
        <v>667</v>
      </c>
      <c r="CN17" s="6"/>
      <c r="CS17" s="6"/>
      <c r="CX17" s="6"/>
      <c r="CZ17">
        <v>12</v>
      </c>
      <c r="DA17">
        <f t="shared" si="0"/>
        <v>8855</v>
      </c>
      <c r="DB17">
        <f t="shared" si="1"/>
        <v>737.91666666666663</v>
      </c>
    </row>
    <row r="18" spans="1:109" x14ac:dyDescent="0.25">
      <c r="A18" s="3">
        <v>2003</v>
      </c>
      <c r="B18" s="7"/>
      <c r="C18">
        <v>12</v>
      </c>
      <c r="D18">
        <v>3</v>
      </c>
      <c r="E18">
        <v>0</v>
      </c>
      <c r="G18" s="6">
        <v>802</v>
      </c>
      <c r="H18">
        <v>11</v>
      </c>
      <c r="I18">
        <v>4</v>
      </c>
      <c r="J18">
        <v>0</v>
      </c>
      <c r="L18" s="6">
        <v>856</v>
      </c>
      <c r="M18">
        <v>8</v>
      </c>
      <c r="N18">
        <v>6</v>
      </c>
      <c r="O18">
        <v>1</v>
      </c>
      <c r="Q18" s="6">
        <v>779</v>
      </c>
      <c r="R18">
        <v>6</v>
      </c>
      <c r="S18">
        <v>9</v>
      </c>
      <c r="T18">
        <v>0</v>
      </c>
      <c r="V18" s="6">
        <v>772</v>
      </c>
      <c r="W18">
        <v>7</v>
      </c>
      <c r="X18">
        <v>8</v>
      </c>
      <c r="Y18">
        <v>0</v>
      </c>
      <c r="AA18" s="6">
        <v>812</v>
      </c>
      <c r="AB18">
        <v>11</v>
      </c>
      <c r="AC18">
        <v>4</v>
      </c>
      <c r="AD18">
        <v>0</v>
      </c>
      <c r="AF18" s="6">
        <v>887</v>
      </c>
      <c r="AG18">
        <v>3</v>
      </c>
      <c r="AH18">
        <v>11</v>
      </c>
      <c r="AI18">
        <v>1</v>
      </c>
      <c r="AK18" s="6">
        <v>675</v>
      </c>
      <c r="AL18">
        <v>7</v>
      </c>
      <c r="AM18">
        <v>6</v>
      </c>
      <c r="AN18">
        <v>2</v>
      </c>
      <c r="AP18" s="6">
        <v>707</v>
      </c>
      <c r="AQ18">
        <v>7</v>
      </c>
      <c r="AR18">
        <v>8</v>
      </c>
      <c r="AS18">
        <v>0</v>
      </c>
      <c r="AU18" s="6">
        <v>755</v>
      </c>
      <c r="AZ18" s="6"/>
      <c r="BE18" s="6"/>
      <c r="BJ18" s="6"/>
      <c r="BO18" s="6"/>
      <c r="BT18" s="6"/>
      <c r="BU18">
        <v>4</v>
      </c>
      <c r="BV18">
        <v>11</v>
      </c>
      <c r="BW18">
        <v>0</v>
      </c>
      <c r="BY18" s="6">
        <v>545</v>
      </c>
      <c r="BZ18">
        <v>7</v>
      </c>
      <c r="CA18">
        <v>8</v>
      </c>
      <c r="CB18">
        <v>0</v>
      </c>
      <c r="CD18" s="6">
        <v>613</v>
      </c>
      <c r="CE18">
        <v>5</v>
      </c>
      <c r="CF18">
        <v>10</v>
      </c>
      <c r="CG18">
        <v>0</v>
      </c>
      <c r="CI18" s="6">
        <v>602</v>
      </c>
      <c r="CN18" s="6"/>
      <c r="CS18" s="6"/>
      <c r="CX18" s="6"/>
      <c r="CZ18">
        <v>12</v>
      </c>
      <c r="DA18">
        <f t="shared" si="0"/>
        <v>8805</v>
      </c>
      <c r="DB18">
        <f t="shared" si="1"/>
        <v>733.75</v>
      </c>
    </row>
    <row r="19" spans="1:109" x14ac:dyDescent="0.25">
      <c r="A19" s="3">
        <v>2004</v>
      </c>
      <c r="B19" s="7"/>
      <c r="C19">
        <v>6</v>
      </c>
      <c r="D19">
        <v>9</v>
      </c>
      <c r="E19">
        <v>0</v>
      </c>
      <c r="G19" s="6">
        <v>659</v>
      </c>
      <c r="H19">
        <v>10</v>
      </c>
      <c r="I19">
        <v>4</v>
      </c>
      <c r="J19">
        <v>1</v>
      </c>
      <c r="L19" s="6">
        <v>884</v>
      </c>
      <c r="M19">
        <v>9</v>
      </c>
      <c r="N19">
        <v>5</v>
      </c>
      <c r="O19">
        <v>1</v>
      </c>
      <c r="Q19" s="6">
        <v>912</v>
      </c>
      <c r="R19">
        <v>6</v>
      </c>
      <c r="S19">
        <v>9</v>
      </c>
      <c r="T19">
        <v>0</v>
      </c>
      <c r="V19" s="6">
        <v>756</v>
      </c>
      <c r="W19">
        <v>8</v>
      </c>
      <c r="X19">
        <v>7</v>
      </c>
      <c r="Y19">
        <v>0</v>
      </c>
      <c r="AA19" s="6">
        <v>777</v>
      </c>
      <c r="AB19">
        <v>7</v>
      </c>
      <c r="AC19">
        <v>8</v>
      </c>
      <c r="AD19">
        <v>0</v>
      </c>
      <c r="AF19" s="6">
        <v>669</v>
      </c>
      <c r="AG19">
        <v>5</v>
      </c>
      <c r="AH19">
        <v>10</v>
      </c>
      <c r="AI19">
        <v>0</v>
      </c>
      <c r="AK19" s="6">
        <v>595</v>
      </c>
      <c r="AL19">
        <v>8</v>
      </c>
      <c r="AM19">
        <v>6</v>
      </c>
      <c r="AN19">
        <v>1</v>
      </c>
      <c r="AP19" s="6">
        <v>771</v>
      </c>
      <c r="AQ19">
        <v>8</v>
      </c>
      <c r="AR19">
        <v>7</v>
      </c>
      <c r="AS19">
        <v>0</v>
      </c>
      <c r="AU19" s="6">
        <v>786</v>
      </c>
      <c r="AZ19" s="6"/>
      <c r="BE19" s="6"/>
      <c r="BJ19" s="6"/>
      <c r="BO19" s="6"/>
      <c r="BT19" s="6"/>
      <c r="BU19">
        <v>6</v>
      </c>
      <c r="BV19">
        <v>9</v>
      </c>
      <c r="BW19">
        <v>0</v>
      </c>
      <c r="BY19" s="6">
        <v>733</v>
      </c>
      <c r="BZ19">
        <v>6</v>
      </c>
      <c r="CA19">
        <v>8</v>
      </c>
      <c r="CB19">
        <v>1</v>
      </c>
      <c r="CD19" s="6">
        <v>774</v>
      </c>
      <c r="CE19">
        <v>9</v>
      </c>
      <c r="CF19">
        <v>6</v>
      </c>
      <c r="CG19">
        <v>0</v>
      </c>
      <c r="CI19" s="6">
        <v>865</v>
      </c>
      <c r="CN19" s="6"/>
      <c r="CS19" s="6"/>
      <c r="CX19" s="6"/>
      <c r="CZ19">
        <v>12</v>
      </c>
      <c r="DA19">
        <f t="shared" si="0"/>
        <v>9181</v>
      </c>
      <c r="DB19">
        <f t="shared" si="1"/>
        <v>765.08333333333337</v>
      </c>
    </row>
    <row r="20" spans="1:109" x14ac:dyDescent="0.25">
      <c r="A20" s="3">
        <v>2005</v>
      </c>
      <c r="B20" s="7"/>
      <c r="C20">
        <v>10</v>
      </c>
      <c r="D20">
        <v>4</v>
      </c>
      <c r="E20">
        <v>1</v>
      </c>
      <c r="G20" s="6">
        <v>853</v>
      </c>
      <c r="H20">
        <v>5</v>
      </c>
      <c r="I20">
        <v>10</v>
      </c>
      <c r="J20">
        <v>0</v>
      </c>
      <c r="L20" s="6">
        <v>762</v>
      </c>
      <c r="M20">
        <v>8</v>
      </c>
      <c r="N20">
        <v>7</v>
      </c>
      <c r="O20">
        <v>0</v>
      </c>
      <c r="Q20" s="6">
        <v>687</v>
      </c>
      <c r="R20">
        <v>5</v>
      </c>
      <c r="S20">
        <v>10</v>
      </c>
      <c r="T20">
        <v>0</v>
      </c>
      <c r="V20" s="6">
        <v>700</v>
      </c>
      <c r="W20">
        <v>8</v>
      </c>
      <c r="X20">
        <v>7</v>
      </c>
      <c r="Y20">
        <v>0</v>
      </c>
      <c r="AA20" s="6">
        <v>629</v>
      </c>
      <c r="AB20">
        <v>8</v>
      </c>
      <c r="AC20">
        <v>6</v>
      </c>
      <c r="AD20">
        <v>1</v>
      </c>
      <c r="AF20" s="6">
        <v>762</v>
      </c>
      <c r="AG20">
        <v>4</v>
      </c>
      <c r="AH20">
        <v>11</v>
      </c>
      <c r="AI20">
        <v>0</v>
      </c>
      <c r="AK20" s="6">
        <v>547</v>
      </c>
      <c r="AL20">
        <v>6</v>
      </c>
      <c r="AM20">
        <v>7</v>
      </c>
      <c r="AN20">
        <v>2</v>
      </c>
      <c r="AP20" s="6">
        <v>686</v>
      </c>
      <c r="AQ20">
        <v>9</v>
      </c>
      <c r="AR20">
        <v>6</v>
      </c>
      <c r="AS20">
        <v>0</v>
      </c>
      <c r="AU20" s="6">
        <v>918</v>
      </c>
      <c r="AZ20" s="6"/>
      <c r="BE20" s="6"/>
      <c r="BJ20" s="6"/>
      <c r="BO20" s="6"/>
      <c r="BT20" s="6"/>
      <c r="BU20">
        <v>7</v>
      </c>
      <c r="BV20">
        <v>8</v>
      </c>
      <c r="BW20">
        <v>0</v>
      </c>
      <c r="BY20" s="6">
        <v>572</v>
      </c>
      <c r="BZ20">
        <v>11</v>
      </c>
      <c r="CA20">
        <v>4</v>
      </c>
      <c r="CB20">
        <v>0</v>
      </c>
      <c r="CD20" s="6">
        <v>797</v>
      </c>
      <c r="CE20">
        <v>7</v>
      </c>
      <c r="CF20">
        <v>8</v>
      </c>
      <c r="CG20">
        <v>0</v>
      </c>
      <c r="CI20" s="6">
        <v>650</v>
      </c>
      <c r="CN20" s="6"/>
      <c r="CS20" s="6"/>
      <c r="CX20" s="6"/>
      <c r="CZ20">
        <v>12</v>
      </c>
      <c r="DA20">
        <f t="shared" si="0"/>
        <v>8563</v>
      </c>
      <c r="DB20">
        <f t="shared" si="1"/>
        <v>713.58333333333337</v>
      </c>
    </row>
    <row r="21" spans="1:109" x14ac:dyDescent="0.25">
      <c r="A21" s="3">
        <v>2006</v>
      </c>
      <c r="B21" s="7"/>
      <c r="C21">
        <v>6</v>
      </c>
      <c r="D21">
        <v>8</v>
      </c>
      <c r="E21">
        <v>0</v>
      </c>
      <c r="G21" s="6">
        <v>839</v>
      </c>
      <c r="H21">
        <v>10</v>
      </c>
      <c r="I21">
        <v>4</v>
      </c>
      <c r="J21">
        <v>0</v>
      </c>
      <c r="L21" s="6">
        <v>856</v>
      </c>
      <c r="M21">
        <v>7</v>
      </c>
      <c r="N21">
        <v>7</v>
      </c>
      <c r="O21">
        <v>0</v>
      </c>
      <c r="Q21" s="6">
        <v>629</v>
      </c>
      <c r="R21">
        <v>7</v>
      </c>
      <c r="S21">
        <v>7</v>
      </c>
      <c r="T21">
        <v>0</v>
      </c>
      <c r="V21" s="6">
        <v>635</v>
      </c>
      <c r="W21">
        <v>6</v>
      </c>
      <c r="X21">
        <v>8</v>
      </c>
      <c r="Y21">
        <v>0</v>
      </c>
      <c r="AA21" s="6">
        <v>615</v>
      </c>
      <c r="AB21">
        <v>11</v>
      </c>
      <c r="AC21">
        <v>3</v>
      </c>
      <c r="AD21">
        <v>0</v>
      </c>
      <c r="AF21" s="6">
        <v>744</v>
      </c>
      <c r="AG21">
        <v>3</v>
      </c>
      <c r="AH21">
        <v>11</v>
      </c>
      <c r="AI21">
        <v>0</v>
      </c>
      <c r="AK21" s="6">
        <v>531</v>
      </c>
      <c r="AL21">
        <v>5</v>
      </c>
      <c r="AM21">
        <v>9</v>
      </c>
      <c r="AN21">
        <v>0</v>
      </c>
      <c r="AP21" s="6">
        <v>600</v>
      </c>
      <c r="AQ21">
        <v>9</v>
      </c>
      <c r="AR21">
        <v>5</v>
      </c>
      <c r="AS21">
        <v>0</v>
      </c>
      <c r="AU21" s="6">
        <v>653</v>
      </c>
      <c r="AV21">
        <v>9</v>
      </c>
      <c r="AW21">
        <v>5</v>
      </c>
      <c r="AX21">
        <v>0</v>
      </c>
      <c r="AZ21" s="6">
        <v>766</v>
      </c>
      <c r="BE21" s="6"/>
      <c r="BJ21" s="6"/>
      <c r="BO21" s="6"/>
      <c r="BT21" s="6"/>
      <c r="BU21">
        <v>7</v>
      </c>
      <c r="BV21">
        <v>7</v>
      </c>
      <c r="BW21">
        <v>0</v>
      </c>
      <c r="BY21" s="6">
        <v>683</v>
      </c>
      <c r="BZ21">
        <v>4</v>
      </c>
      <c r="CA21">
        <v>10</v>
      </c>
      <c r="CB21">
        <v>0</v>
      </c>
      <c r="CD21" s="6">
        <v>559</v>
      </c>
      <c r="CI21" s="6"/>
      <c r="CN21" s="6"/>
      <c r="CS21" s="6"/>
      <c r="CX21" s="6"/>
      <c r="CZ21">
        <v>12</v>
      </c>
      <c r="DA21">
        <f t="shared" ref="DA21:DA37" si="2">+G21+L21+Q21+V21+AA21+AF21+AK21+AP21+AU21+AZ21+BE21+BJ21+BO21+BT21+BY21+CD21+CI21+CN21+CS21+CX21</f>
        <v>8110</v>
      </c>
      <c r="DB21">
        <f t="shared" si="1"/>
        <v>675.83333333333337</v>
      </c>
    </row>
    <row r="22" spans="1:109" x14ac:dyDescent="0.25">
      <c r="A22" s="3">
        <v>2007</v>
      </c>
      <c r="B22" s="6"/>
      <c r="C22">
        <v>4</v>
      </c>
      <c r="D22">
        <v>10</v>
      </c>
      <c r="E22">
        <v>0</v>
      </c>
      <c r="G22" s="6">
        <v>740</v>
      </c>
      <c r="H22">
        <v>5</v>
      </c>
      <c r="I22">
        <v>8</v>
      </c>
      <c r="J22">
        <v>1</v>
      </c>
      <c r="L22" s="6">
        <v>720</v>
      </c>
      <c r="M22">
        <v>7</v>
      </c>
      <c r="N22">
        <v>7</v>
      </c>
      <c r="O22">
        <v>0</v>
      </c>
      <c r="Q22" s="6">
        <v>718</v>
      </c>
      <c r="R22">
        <v>9</v>
      </c>
      <c r="S22">
        <v>5</v>
      </c>
      <c r="T22">
        <v>0</v>
      </c>
      <c r="V22" s="6">
        <v>721</v>
      </c>
      <c r="W22">
        <v>5</v>
      </c>
      <c r="X22">
        <v>9</v>
      </c>
      <c r="Y22">
        <v>0</v>
      </c>
      <c r="AA22" s="6">
        <v>512</v>
      </c>
      <c r="AB22" s="30">
        <v>13</v>
      </c>
      <c r="AC22" s="30">
        <v>1</v>
      </c>
      <c r="AD22" s="30">
        <v>0</v>
      </c>
      <c r="AF22" s="30">
        <v>1000</v>
      </c>
      <c r="AG22">
        <v>4</v>
      </c>
      <c r="AH22">
        <v>9</v>
      </c>
      <c r="AI22">
        <v>1</v>
      </c>
      <c r="AK22" s="6">
        <v>501</v>
      </c>
      <c r="AL22">
        <v>5</v>
      </c>
      <c r="AM22">
        <v>9</v>
      </c>
      <c r="AN22">
        <v>0</v>
      </c>
      <c r="AP22" s="6">
        <v>608</v>
      </c>
      <c r="AQ22">
        <v>5</v>
      </c>
      <c r="AR22">
        <v>8</v>
      </c>
      <c r="AS22">
        <v>1</v>
      </c>
      <c r="AU22" s="6">
        <v>582</v>
      </c>
      <c r="AV22">
        <v>9</v>
      </c>
      <c r="AW22">
        <v>5</v>
      </c>
      <c r="AX22">
        <v>0</v>
      </c>
      <c r="AZ22" s="6">
        <v>802</v>
      </c>
      <c r="BE22" s="6"/>
      <c r="BJ22" s="6"/>
      <c r="BO22" s="6"/>
      <c r="BT22" s="6"/>
      <c r="BU22">
        <v>10</v>
      </c>
      <c r="BV22">
        <v>3</v>
      </c>
      <c r="BW22">
        <v>1</v>
      </c>
      <c r="BY22" s="6">
        <v>834</v>
      </c>
      <c r="BZ22">
        <v>6</v>
      </c>
      <c r="CA22">
        <v>8</v>
      </c>
      <c r="CB22">
        <v>0</v>
      </c>
      <c r="CD22" s="6">
        <v>665</v>
      </c>
      <c r="CI22" s="6"/>
      <c r="CN22" s="6"/>
      <c r="CS22" s="6"/>
      <c r="CX22" s="6"/>
      <c r="CZ22">
        <v>12</v>
      </c>
      <c r="DA22">
        <f t="shared" si="2"/>
        <v>8403</v>
      </c>
      <c r="DB22">
        <f t="shared" si="1"/>
        <v>700.25</v>
      </c>
    </row>
    <row r="23" spans="1:109" x14ac:dyDescent="0.25">
      <c r="A23" s="3">
        <v>2008</v>
      </c>
      <c r="B23" s="6"/>
      <c r="C23">
        <v>8</v>
      </c>
      <c r="D23">
        <v>6</v>
      </c>
      <c r="E23">
        <v>0</v>
      </c>
      <c r="G23" s="6">
        <v>678</v>
      </c>
      <c r="H23">
        <v>11</v>
      </c>
      <c r="I23">
        <v>3</v>
      </c>
      <c r="J23">
        <v>0</v>
      </c>
      <c r="L23" s="6">
        <v>704</v>
      </c>
      <c r="M23">
        <v>11</v>
      </c>
      <c r="N23">
        <v>3</v>
      </c>
      <c r="O23">
        <v>0</v>
      </c>
      <c r="Q23" s="6">
        <v>822</v>
      </c>
      <c r="R23">
        <v>5</v>
      </c>
      <c r="S23">
        <v>9</v>
      </c>
      <c r="T23">
        <v>0</v>
      </c>
      <c r="V23" s="6">
        <v>725</v>
      </c>
      <c r="W23">
        <v>1</v>
      </c>
      <c r="X23">
        <v>12</v>
      </c>
      <c r="Y23">
        <v>1</v>
      </c>
      <c r="AA23" s="6">
        <v>455</v>
      </c>
      <c r="AB23">
        <v>5</v>
      </c>
      <c r="AC23">
        <v>9</v>
      </c>
      <c r="AD23">
        <v>0</v>
      </c>
      <c r="AF23" s="6">
        <v>671</v>
      </c>
      <c r="AG23">
        <v>10</v>
      </c>
      <c r="AH23">
        <v>4</v>
      </c>
      <c r="AI23">
        <v>0</v>
      </c>
      <c r="AK23" s="6">
        <v>725</v>
      </c>
      <c r="AL23">
        <v>2</v>
      </c>
      <c r="AM23">
        <v>12</v>
      </c>
      <c r="AN23">
        <v>0</v>
      </c>
      <c r="AP23" s="6">
        <v>530</v>
      </c>
      <c r="AQ23">
        <v>10</v>
      </c>
      <c r="AR23">
        <v>4</v>
      </c>
      <c r="AS23">
        <v>0</v>
      </c>
      <c r="AU23" s="6">
        <v>711</v>
      </c>
      <c r="AV23">
        <v>8</v>
      </c>
      <c r="AW23">
        <v>6</v>
      </c>
      <c r="AX23">
        <v>0</v>
      </c>
      <c r="AZ23" s="6">
        <v>788</v>
      </c>
      <c r="BE23" s="6"/>
      <c r="BJ23" s="6"/>
      <c r="BO23" s="6"/>
      <c r="BT23" s="6"/>
      <c r="BU23">
        <v>7</v>
      </c>
      <c r="BV23">
        <v>7</v>
      </c>
      <c r="BW23">
        <v>0</v>
      </c>
      <c r="BY23" s="6">
        <v>770</v>
      </c>
      <c r="BZ23">
        <v>5</v>
      </c>
      <c r="CA23">
        <v>8</v>
      </c>
      <c r="CB23">
        <v>1</v>
      </c>
      <c r="CD23" s="6">
        <v>640</v>
      </c>
      <c r="CI23" s="6"/>
      <c r="CN23" s="6"/>
      <c r="CS23" s="6"/>
      <c r="CX23" s="6"/>
      <c r="CZ23">
        <v>12</v>
      </c>
      <c r="DA23">
        <f t="shared" si="2"/>
        <v>8219</v>
      </c>
      <c r="DB23">
        <f t="shared" si="1"/>
        <v>684.91666666666663</v>
      </c>
    </row>
    <row r="24" spans="1:109" x14ac:dyDescent="0.25">
      <c r="A24" s="3">
        <v>2009</v>
      </c>
      <c r="B24" s="6"/>
      <c r="C24">
        <v>6</v>
      </c>
      <c r="D24">
        <v>8</v>
      </c>
      <c r="E24">
        <v>0</v>
      </c>
      <c r="F24">
        <v>7</v>
      </c>
      <c r="G24" s="6">
        <v>725</v>
      </c>
      <c r="H24">
        <v>10</v>
      </c>
      <c r="I24">
        <v>4</v>
      </c>
      <c r="J24">
        <v>0</v>
      </c>
      <c r="K24">
        <v>10</v>
      </c>
      <c r="L24" s="6">
        <v>835</v>
      </c>
      <c r="M24">
        <v>11</v>
      </c>
      <c r="N24">
        <v>3</v>
      </c>
      <c r="O24">
        <v>0</v>
      </c>
      <c r="P24">
        <v>9</v>
      </c>
      <c r="Q24" s="6">
        <v>844</v>
      </c>
      <c r="R24">
        <v>2</v>
      </c>
      <c r="S24">
        <v>12</v>
      </c>
      <c r="T24">
        <v>0</v>
      </c>
      <c r="U24">
        <v>4.5</v>
      </c>
      <c r="V24" s="6">
        <v>604</v>
      </c>
      <c r="W24">
        <v>6</v>
      </c>
      <c r="X24">
        <v>8</v>
      </c>
      <c r="Y24">
        <v>0</v>
      </c>
      <c r="Z24">
        <v>3</v>
      </c>
      <c r="AA24" s="6">
        <v>626</v>
      </c>
      <c r="AB24">
        <v>5</v>
      </c>
      <c r="AC24">
        <v>9</v>
      </c>
      <c r="AD24">
        <v>0</v>
      </c>
      <c r="AE24">
        <v>6</v>
      </c>
      <c r="AF24" s="6">
        <v>719</v>
      </c>
      <c r="AG24">
        <v>12</v>
      </c>
      <c r="AH24">
        <v>2</v>
      </c>
      <c r="AI24">
        <v>0</v>
      </c>
      <c r="AJ24">
        <v>11</v>
      </c>
      <c r="AK24" s="6">
        <v>805</v>
      </c>
      <c r="AL24">
        <v>2</v>
      </c>
      <c r="AM24">
        <v>12</v>
      </c>
      <c r="AN24">
        <v>0</v>
      </c>
      <c r="AO24">
        <v>2.5</v>
      </c>
      <c r="AP24" s="6">
        <v>540</v>
      </c>
      <c r="AQ24">
        <v>6</v>
      </c>
      <c r="AR24">
        <v>8</v>
      </c>
      <c r="AS24">
        <v>0</v>
      </c>
      <c r="AT24">
        <v>8</v>
      </c>
      <c r="AU24" s="6">
        <v>698</v>
      </c>
      <c r="AV24">
        <v>6</v>
      </c>
      <c r="AW24">
        <v>8</v>
      </c>
      <c r="AX24">
        <v>0</v>
      </c>
      <c r="AY24">
        <v>8.5</v>
      </c>
      <c r="AZ24" s="6">
        <v>791</v>
      </c>
      <c r="BA24">
        <v>10</v>
      </c>
      <c r="BB24">
        <v>4</v>
      </c>
      <c r="BC24">
        <v>0</v>
      </c>
      <c r="BD24">
        <v>7.5</v>
      </c>
      <c r="BE24" s="6">
        <v>715</v>
      </c>
      <c r="BF24">
        <v>8</v>
      </c>
      <c r="BG24">
        <v>6</v>
      </c>
      <c r="BH24">
        <v>0</v>
      </c>
      <c r="BI24">
        <v>7</v>
      </c>
      <c r="BJ24" s="6">
        <v>723</v>
      </c>
      <c r="BO24" s="6"/>
      <c r="BT24" s="6"/>
      <c r="BY24" s="6"/>
      <c r="CD24" s="6"/>
      <c r="CI24" s="6"/>
      <c r="CN24" s="6"/>
      <c r="CS24" s="6"/>
      <c r="CX24" s="6"/>
      <c r="CZ24">
        <v>12</v>
      </c>
      <c r="DA24">
        <f t="shared" si="2"/>
        <v>8625</v>
      </c>
      <c r="DB24">
        <f t="shared" si="1"/>
        <v>718.75</v>
      </c>
    </row>
    <row r="25" spans="1:109" x14ac:dyDescent="0.25">
      <c r="A25" s="3">
        <v>2010</v>
      </c>
      <c r="B25" s="6"/>
      <c r="C25">
        <v>4</v>
      </c>
      <c r="D25">
        <v>10</v>
      </c>
      <c r="E25">
        <v>0</v>
      </c>
      <c r="F25">
        <v>5</v>
      </c>
      <c r="G25" s="6">
        <v>659</v>
      </c>
      <c r="H25">
        <v>8</v>
      </c>
      <c r="I25">
        <v>6</v>
      </c>
      <c r="J25">
        <v>0</v>
      </c>
      <c r="K25">
        <v>10</v>
      </c>
      <c r="L25" s="6">
        <v>808</v>
      </c>
      <c r="M25">
        <v>10</v>
      </c>
      <c r="N25">
        <v>4</v>
      </c>
      <c r="O25">
        <v>0</v>
      </c>
      <c r="P25">
        <v>9.6999999999999993</v>
      </c>
      <c r="Q25" s="6">
        <v>802</v>
      </c>
      <c r="R25">
        <v>4</v>
      </c>
      <c r="S25">
        <v>8</v>
      </c>
      <c r="T25">
        <v>2</v>
      </c>
      <c r="U25">
        <v>5.7</v>
      </c>
      <c r="V25" s="6">
        <v>585</v>
      </c>
      <c r="W25">
        <v>3</v>
      </c>
      <c r="X25">
        <v>11</v>
      </c>
      <c r="Y25">
        <v>0</v>
      </c>
      <c r="Z25">
        <v>6</v>
      </c>
      <c r="AA25" s="6">
        <v>674</v>
      </c>
      <c r="AB25">
        <v>10</v>
      </c>
      <c r="AC25">
        <v>3</v>
      </c>
      <c r="AD25">
        <v>1</v>
      </c>
      <c r="AE25">
        <v>9.6999999999999993</v>
      </c>
      <c r="AF25" s="6">
        <v>864</v>
      </c>
      <c r="AG25">
        <v>8</v>
      </c>
      <c r="AH25">
        <v>6</v>
      </c>
      <c r="AI25">
        <v>0</v>
      </c>
      <c r="AJ25">
        <v>3</v>
      </c>
      <c r="AK25" s="6">
        <v>606</v>
      </c>
      <c r="AL25">
        <v>3</v>
      </c>
      <c r="AM25">
        <v>9</v>
      </c>
      <c r="AN25">
        <v>2</v>
      </c>
      <c r="AO25">
        <v>5</v>
      </c>
      <c r="AP25" s="6">
        <v>620</v>
      </c>
      <c r="AQ25">
        <v>8</v>
      </c>
      <c r="AR25">
        <v>6</v>
      </c>
      <c r="AS25">
        <v>0</v>
      </c>
      <c r="AT25">
        <v>8</v>
      </c>
      <c r="AU25" s="6">
        <v>689</v>
      </c>
      <c r="AV25">
        <v>8</v>
      </c>
      <c r="AW25">
        <v>6</v>
      </c>
      <c r="AX25">
        <v>0</v>
      </c>
      <c r="AY25">
        <v>8</v>
      </c>
      <c r="AZ25" s="6">
        <v>695</v>
      </c>
      <c r="BA25">
        <v>7</v>
      </c>
      <c r="BB25">
        <v>6</v>
      </c>
      <c r="BC25">
        <v>1</v>
      </c>
      <c r="BD25">
        <v>7</v>
      </c>
      <c r="BE25" s="6">
        <v>665</v>
      </c>
      <c r="BF25">
        <v>8</v>
      </c>
      <c r="BG25">
        <v>6</v>
      </c>
      <c r="BH25">
        <v>0</v>
      </c>
      <c r="BI25">
        <v>7</v>
      </c>
      <c r="BJ25" s="6">
        <v>717</v>
      </c>
      <c r="BO25" s="6"/>
      <c r="BT25" s="6"/>
      <c r="BY25" s="6"/>
      <c r="CD25" s="6"/>
      <c r="CI25" s="6"/>
      <c r="CN25" s="6"/>
      <c r="CS25" s="6"/>
      <c r="CX25" s="6"/>
      <c r="CZ25">
        <v>12</v>
      </c>
      <c r="DA25">
        <f t="shared" si="2"/>
        <v>8384</v>
      </c>
      <c r="DB25">
        <f t="shared" si="1"/>
        <v>698.66666666666663</v>
      </c>
    </row>
    <row r="26" spans="1:109" x14ac:dyDescent="0.25">
      <c r="A26" s="3">
        <v>2011</v>
      </c>
      <c r="B26" s="6"/>
      <c r="C26">
        <v>6</v>
      </c>
      <c r="D26">
        <v>8</v>
      </c>
      <c r="E26">
        <v>0</v>
      </c>
      <c r="F26">
        <v>9</v>
      </c>
      <c r="G26" s="6">
        <v>717</v>
      </c>
      <c r="H26">
        <v>6</v>
      </c>
      <c r="I26">
        <v>8</v>
      </c>
      <c r="J26">
        <v>0</v>
      </c>
      <c r="K26">
        <v>5</v>
      </c>
      <c r="L26" s="6">
        <v>638</v>
      </c>
      <c r="M26">
        <v>8</v>
      </c>
      <c r="N26">
        <v>6</v>
      </c>
      <c r="O26">
        <v>0</v>
      </c>
      <c r="P26">
        <v>9</v>
      </c>
      <c r="Q26" s="6">
        <v>828</v>
      </c>
      <c r="R26">
        <v>5</v>
      </c>
      <c r="S26">
        <v>9</v>
      </c>
      <c r="T26">
        <v>0</v>
      </c>
      <c r="U26">
        <v>5</v>
      </c>
      <c r="V26" s="6">
        <v>739</v>
      </c>
      <c r="W26">
        <v>8</v>
      </c>
      <c r="X26">
        <v>6</v>
      </c>
      <c r="Y26">
        <v>0</v>
      </c>
      <c r="Z26">
        <v>8</v>
      </c>
      <c r="AA26" s="6">
        <v>769</v>
      </c>
      <c r="AB26">
        <v>11</v>
      </c>
      <c r="AC26">
        <v>3</v>
      </c>
      <c r="AD26">
        <v>0</v>
      </c>
      <c r="AE26">
        <v>11</v>
      </c>
      <c r="AF26" s="6">
        <v>841</v>
      </c>
      <c r="AG26">
        <v>9</v>
      </c>
      <c r="AH26">
        <v>5</v>
      </c>
      <c r="AI26">
        <v>0</v>
      </c>
      <c r="AJ26">
        <v>7</v>
      </c>
      <c r="AK26" s="6">
        <v>728</v>
      </c>
      <c r="AL26">
        <v>6</v>
      </c>
      <c r="AM26">
        <v>8</v>
      </c>
      <c r="AN26">
        <v>0</v>
      </c>
      <c r="AO26">
        <v>7.5</v>
      </c>
      <c r="AP26" s="6">
        <v>703</v>
      </c>
      <c r="AQ26">
        <v>5</v>
      </c>
      <c r="AR26">
        <v>9</v>
      </c>
      <c r="AS26">
        <v>0</v>
      </c>
      <c r="AT26">
        <v>3.5</v>
      </c>
      <c r="AU26" s="6">
        <v>654</v>
      </c>
      <c r="AV26">
        <v>5</v>
      </c>
      <c r="AW26">
        <v>9</v>
      </c>
      <c r="AX26">
        <v>0</v>
      </c>
      <c r="AY26">
        <v>7</v>
      </c>
      <c r="AZ26" s="6">
        <v>710</v>
      </c>
      <c r="BA26">
        <v>9</v>
      </c>
      <c r="BB26">
        <v>5</v>
      </c>
      <c r="BC26">
        <v>0</v>
      </c>
      <c r="BD26">
        <v>7.5</v>
      </c>
      <c r="BE26" s="6">
        <v>731</v>
      </c>
      <c r="BF26">
        <v>6</v>
      </c>
      <c r="BG26">
        <v>8</v>
      </c>
      <c r="BH26">
        <v>0</v>
      </c>
      <c r="BI26">
        <v>4</v>
      </c>
      <c r="BJ26" s="6">
        <v>704</v>
      </c>
      <c r="BO26" s="6"/>
      <c r="BT26" s="6"/>
      <c r="BY26" s="6"/>
      <c r="CD26" s="6"/>
      <c r="CI26" s="6"/>
      <c r="CN26" s="6"/>
      <c r="CS26" s="6"/>
      <c r="CX26" s="6"/>
      <c r="CZ26">
        <v>12</v>
      </c>
      <c r="DA26">
        <f t="shared" si="2"/>
        <v>8762</v>
      </c>
      <c r="DB26">
        <f t="shared" si="1"/>
        <v>730.16666666666663</v>
      </c>
    </row>
    <row r="27" spans="1:109" x14ac:dyDescent="0.25">
      <c r="A27" s="3">
        <v>2012</v>
      </c>
      <c r="B27" s="6"/>
      <c r="C27">
        <v>9</v>
      </c>
      <c r="D27">
        <v>5</v>
      </c>
      <c r="E27">
        <v>0</v>
      </c>
      <c r="F27">
        <v>9</v>
      </c>
      <c r="G27" s="6">
        <v>745</v>
      </c>
      <c r="H27">
        <v>11</v>
      </c>
      <c r="I27">
        <v>3</v>
      </c>
      <c r="J27">
        <v>0</v>
      </c>
      <c r="K27">
        <v>11</v>
      </c>
      <c r="L27" s="6">
        <v>842</v>
      </c>
      <c r="M27">
        <v>8</v>
      </c>
      <c r="N27">
        <v>6</v>
      </c>
      <c r="O27">
        <v>0</v>
      </c>
      <c r="P27">
        <v>6</v>
      </c>
      <c r="Q27" s="6">
        <v>692</v>
      </c>
      <c r="R27">
        <v>6</v>
      </c>
      <c r="S27">
        <v>8</v>
      </c>
      <c r="T27">
        <v>0</v>
      </c>
      <c r="U27">
        <v>7</v>
      </c>
      <c r="V27" s="6">
        <v>669</v>
      </c>
      <c r="W27">
        <v>7</v>
      </c>
      <c r="X27">
        <v>7</v>
      </c>
      <c r="Y27">
        <v>0</v>
      </c>
      <c r="Z27">
        <v>5</v>
      </c>
      <c r="AA27" s="6">
        <v>689</v>
      </c>
      <c r="AB27">
        <v>8</v>
      </c>
      <c r="AC27">
        <v>6</v>
      </c>
      <c r="AD27">
        <v>0</v>
      </c>
      <c r="AE27">
        <v>7.5</v>
      </c>
      <c r="AF27" s="6">
        <v>782</v>
      </c>
      <c r="AG27">
        <v>5</v>
      </c>
      <c r="AH27">
        <v>8</v>
      </c>
      <c r="AI27">
        <v>1</v>
      </c>
      <c r="AJ27">
        <v>5</v>
      </c>
      <c r="AK27" s="6">
        <v>736</v>
      </c>
      <c r="AL27">
        <v>5</v>
      </c>
      <c r="AM27">
        <v>9</v>
      </c>
      <c r="AN27">
        <v>0</v>
      </c>
      <c r="AO27">
        <v>7</v>
      </c>
      <c r="AP27" s="6">
        <v>682</v>
      </c>
      <c r="AQ27">
        <v>6</v>
      </c>
      <c r="AR27">
        <v>8</v>
      </c>
      <c r="AS27">
        <v>0</v>
      </c>
      <c r="AT27">
        <v>6.5</v>
      </c>
      <c r="AU27" s="6">
        <v>712</v>
      </c>
      <c r="AV27">
        <v>8</v>
      </c>
      <c r="AW27">
        <v>6</v>
      </c>
      <c r="AX27">
        <v>0</v>
      </c>
      <c r="AY27">
        <v>7.5</v>
      </c>
      <c r="AZ27" s="6">
        <v>741</v>
      </c>
      <c r="BA27">
        <v>5</v>
      </c>
      <c r="BB27">
        <v>9</v>
      </c>
      <c r="BC27">
        <v>0</v>
      </c>
      <c r="BD27">
        <v>5</v>
      </c>
      <c r="BE27" s="6">
        <v>641</v>
      </c>
      <c r="BF27">
        <v>5</v>
      </c>
      <c r="BG27">
        <v>8</v>
      </c>
      <c r="BH27">
        <v>1</v>
      </c>
      <c r="BI27">
        <v>7.5</v>
      </c>
      <c r="BJ27" s="6">
        <v>740</v>
      </c>
      <c r="BO27" s="6"/>
      <c r="BT27" s="6"/>
      <c r="BY27" s="6"/>
      <c r="CD27" s="6"/>
      <c r="CI27" s="6"/>
      <c r="CN27" s="6"/>
      <c r="CS27" s="6"/>
      <c r="CX27" s="6"/>
      <c r="CZ27">
        <v>12</v>
      </c>
      <c r="DA27">
        <f t="shared" si="2"/>
        <v>8671</v>
      </c>
      <c r="DB27">
        <f t="shared" si="1"/>
        <v>722.58333333333337</v>
      </c>
      <c r="DC27" s="37">
        <f>SUM(DB3:DB27)</f>
        <v>17337.949999999997</v>
      </c>
      <c r="DD27">
        <f>+DC27/25</f>
        <v>693.51799999999992</v>
      </c>
    </row>
    <row r="28" spans="1:109" x14ac:dyDescent="0.25">
      <c r="A28" s="3">
        <v>2013</v>
      </c>
      <c r="B28" s="6"/>
      <c r="C28">
        <v>10</v>
      </c>
      <c r="D28">
        <v>4</v>
      </c>
      <c r="E28">
        <v>0</v>
      </c>
      <c r="F28">
        <v>9</v>
      </c>
      <c r="G28" s="6">
        <v>779</v>
      </c>
      <c r="H28">
        <v>8</v>
      </c>
      <c r="I28">
        <v>6</v>
      </c>
      <c r="J28">
        <v>0</v>
      </c>
      <c r="K28">
        <v>9</v>
      </c>
      <c r="L28" s="6">
        <v>717</v>
      </c>
      <c r="M28">
        <v>10</v>
      </c>
      <c r="N28">
        <v>4</v>
      </c>
      <c r="O28">
        <v>0</v>
      </c>
      <c r="P28">
        <v>9</v>
      </c>
      <c r="Q28" s="6">
        <v>722</v>
      </c>
      <c r="R28">
        <v>7</v>
      </c>
      <c r="S28">
        <v>7</v>
      </c>
      <c r="T28">
        <v>0</v>
      </c>
      <c r="U28">
        <v>6</v>
      </c>
      <c r="V28" s="6">
        <v>589</v>
      </c>
      <c r="W28">
        <v>7</v>
      </c>
      <c r="X28">
        <v>6</v>
      </c>
      <c r="Y28">
        <v>1</v>
      </c>
      <c r="Z28">
        <v>8</v>
      </c>
      <c r="AA28" s="6">
        <v>623</v>
      </c>
      <c r="AB28">
        <v>4</v>
      </c>
      <c r="AC28">
        <v>10</v>
      </c>
      <c r="AD28">
        <v>0</v>
      </c>
      <c r="AE28">
        <v>5</v>
      </c>
      <c r="AF28" s="6">
        <v>611</v>
      </c>
      <c r="AG28">
        <v>6</v>
      </c>
      <c r="AH28">
        <v>8</v>
      </c>
      <c r="AI28">
        <v>0</v>
      </c>
      <c r="AJ28">
        <v>7</v>
      </c>
      <c r="AK28" s="6">
        <v>700</v>
      </c>
      <c r="AL28">
        <v>9</v>
      </c>
      <c r="AM28">
        <v>5</v>
      </c>
      <c r="AN28">
        <v>0</v>
      </c>
      <c r="AO28">
        <v>9</v>
      </c>
      <c r="AP28" s="6">
        <v>776</v>
      </c>
      <c r="AQ28">
        <v>7</v>
      </c>
      <c r="AR28">
        <v>7</v>
      </c>
      <c r="AS28">
        <v>0</v>
      </c>
      <c r="AT28">
        <v>11</v>
      </c>
      <c r="AU28" s="6">
        <v>791</v>
      </c>
      <c r="AV28">
        <v>7</v>
      </c>
      <c r="AW28">
        <v>6</v>
      </c>
      <c r="AX28">
        <v>1</v>
      </c>
      <c r="AY28">
        <v>7</v>
      </c>
      <c r="AZ28" s="6">
        <v>682</v>
      </c>
      <c r="BA28">
        <v>5</v>
      </c>
      <c r="BB28">
        <v>9</v>
      </c>
      <c r="BC28">
        <v>0</v>
      </c>
      <c r="BD28">
        <v>3</v>
      </c>
      <c r="BE28" s="6">
        <v>479</v>
      </c>
      <c r="BF28">
        <v>3</v>
      </c>
      <c r="BG28">
        <v>11</v>
      </c>
      <c r="BH28">
        <v>0</v>
      </c>
      <c r="BI28">
        <v>1</v>
      </c>
      <c r="BJ28" s="6">
        <v>433</v>
      </c>
      <c r="BO28" s="6"/>
      <c r="BT28" s="6"/>
      <c r="BY28" s="6"/>
      <c r="CD28" s="6"/>
      <c r="CI28" s="6"/>
      <c r="CN28" s="6"/>
      <c r="CS28" s="6"/>
      <c r="CX28" s="6"/>
      <c r="CZ28">
        <v>12</v>
      </c>
      <c r="DA28">
        <f t="shared" si="2"/>
        <v>7902</v>
      </c>
      <c r="DB28">
        <f t="shared" si="1"/>
        <v>658.5</v>
      </c>
      <c r="DE28">
        <f>+DB28/14</f>
        <v>47.035714285714285</v>
      </c>
    </row>
    <row r="29" spans="1:109" x14ac:dyDescent="0.25">
      <c r="A29" s="3">
        <v>2014</v>
      </c>
      <c r="B29" s="6"/>
      <c r="C29">
        <v>6</v>
      </c>
      <c r="D29">
        <v>7</v>
      </c>
      <c r="E29">
        <v>1</v>
      </c>
      <c r="F29">
        <v>8.5</v>
      </c>
      <c r="G29" s="6">
        <v>744</v>
      </c>
      <c r="H29">
        <v>8</v>
      </c>
      <c r="I29">
        <v>6</v>
      </c>
      <c r="J29">
        <v>0</v>
      </c>
      <c r="K29">
        <v>8</v>
      </c>
      <c r="L29" s="6">
        <v>746</v>
      </c>
      <c r="M29">
        <v>9</v>
      </c>
      <c r="N29">
        <v>5</v>
      </c>
      <c r="O29">
        <v>0</v>
      </c>
      <c r="P29" s="29">
        <v>11.5</v>
      </c>
      <c r="Q29" s="6">
        <v>783</v>
      </c>
      <c r="R29">
        <v>5</v>
      </c>
      <c r="S29">
        <v>9</v>
      </c>
      <c r="T29">
        <v>0</v>
      </c>
      <c r="U29">
        <v>6</v>
      </c>
      <c r="V29" s="6">
        <v>677</v>
      </c>
      <c r="W29">
        <v>6</v>
      </c>
      <c r="X29">
        <v>7</v>
      </c>
      <c r="Y29">
        <v>1</v>
      </c>
      <c r="Z29">
        <v>6.5</v>
      </c>
      <c r="AA29" s="6">
        <v>673</v>
      </c>
      <c r="AB29">
        <v>10</v>
      </c>
      <c r="AC29">
        <v>3</v>
      </c>
      <c r="AD29">
        <v>1</v>
      </c>
      <c r="AE29" s="29">
        <v>11.5</v>
      </c>
      <c r="AF29" s="6">
        <v>824</v>
      </c>
      <c r="AG29">
        <v>8</v>
      </c>
      <c r="AH29">
        <v>6</v>
      </c>
      <c r="AI29">
        <v>0</v>
      </c>
      <c r="AJ29">
        <v>6</v>
      </c>
      <c r="AK29" s="6">
        <v>711</v>
      </c>
      <c r="AL29">
        <v>4</v>
      </c>
      <c r="AM29">
        <v>9</v>
      </c>
      <c r="AN29">
        <v>1</v>
      </c>
      <c r="AO29">
        <v>4.5</v>
      </c>
      <c r="AP29" s="6">
        <v>676</v>
      </c>
      <c r="AQ29">
        <v>8</v>
      </c>
      <c r="AR29">
        <v>6</v>
      </c>
      <c r="AS29">
        <v>0</v>
      </c>
      <c r="AT29">
        <v>6.5</v>
      </c>
      <c r="AU29" s="6">
        <v>696</v>
      </c>
      <c r="AV29">
        <v>7</v>
      </c>
      <c r="AW29">
        <v>7</v>
      </c>
      <c r="AX29">
        <v>0</v>
      </c>
      <c r="AY29">
        <v>6</v>
      </c>
      <c r="AZ29" s="6">
        <v>654</v>
      </c>
      <c r="BA29">
        <v>8</v>
      </c>
      <c r="BB29">
        <v>6</v>
      </c>
      <c r="BC29">
        <v>0</v>
      </c>
      <c r="BD29">
        <v>6.5</v>
      </c>
      <c r="BE29" s="6">
        <v>700</v>
      </c>
      <c r="BF29">
        <v>3</v>
      </c>
      <c r="BG29">
        <v>11</v>
      </c>
      <c r="BH29">
        <v>0</v>
      </c>
      <c r="BI29">
        <v>2.5</v>
      </c>
      <c r="BJ29" s="6">
        <v>505</v>
      </c>
      <c r="BO29" s="6"/>
      <c r="BT29" s="6"/>
      <c r="BY29" s="6"/>
      <c r="CD29" s="6"/>
      <c r="CI29" s="6"/>
      <c r="CN29" s="6"/>
      <c r="CS29" s="6"/>
      <c r="CX29" s="6"/>
      <c r="CZ29">
        <v>12</v>
      </c>
      <c r="DA29">
        <f t="shared" si="2"/>
        <v>8389</v>
      </c>
      <c r="DB29">
        <f t="shared" si="1"/>
        <v>699.08333333333337</v>
      </c>
      <c r="DE29">
        <f t="shared" ref="DE29:DE35" si="3">+DB29/14</f>
        <v>49.93452380952381</v>
      </c>
    </row>
    <row r="30" spans="1:109" x14ac:dyDescent="0.25">
      <c r="A30" s="3">
        <v>2015</v>
      </c>
      <c r="B30" s="6"/>
      <c r="C30">
        <v>8</v>
      </c>
      <c r="D30">
        <v>6</v>
      </c>
      <c r="E30">
        <v>0</v>
      </c>
      <c r="F30">
        <v>8</v>
      </c>
      <c r="G30" s="6">
        <v>656</v>
      </c>
      <c r="H30">
        <v>6</v>
      </c>
      <c r="I30">
        <v>8</v>
      </c>
      <c r="J30">
        <v>0</v>
      </c>
      <c r="K30">
        <v>2</v>
      </c>
      <c r="L30" s="6">
        <v>493</v>
      </c>
      <c r="M30">
        <v>9</v>
      </c>
      <c r="N30">
        <v>5</v>
      </c>
      <c r="O30">
        <v>0</v>
      </c>
      <c r="P30">
        <v>8</v>
      </c>
      <c r="Q30" s="6">
        <v>760</v>
      </c>
      <c r="R30">
        <v>5</v>
      </c>
      <c r="S30">
        <v>9</v>
      </c>
      <c r="T30">
        <v>0</v>
      </c>
      <c r="U30">
        <v>8.5</v>
      </c>
      <c r="V30" s="6">
        <v>698</v>
      </c>
      <c r="W30">
        <v>8</v>
      </c>
      <c r="X30">
        <v>6</v>
      </c>
      <c r="Y30">
        <v>0</v>
      </c>
      <c r="Z30">
        <v>7</v>
      </c>
      <c r="AA30" s="6">
        <v>721</v>
      </c>
      <c r="AB30">
        <v>8</v>
      </c>
      <c r="AC30">
        <v>6</v>
      </c>
      <c r="AD30">
        <v>0</v>
      </c>
      <c r="AE30">
        <v>10</v>
      </c>
      <c r="AF30" s="6">
        <v>713</v>
      </c>
      <c r="AG30">
        <v>10</v>
      </c>
      <c r="AH30">
        <v>4</v>
      </c>
      <c r="AI30">
        <v>0</v>
      </c>
      <c r="AJ30">
        <v>9</v>
      </c>
      <c r="AK30" s="6">
        <v>703</v>
      </c>
      <c r="AL30">
        <v>7</v>
      </c>
      <c r="AM30">
        <v>6</v>
      </c>
      <c r="AN30">
        <v>1</v>
      </c>
      <c r="AO30">
        <v>10</v>
      </c>
      <c r="AP30" s="6">
        <v>693</v>
      </c>
      <c r="AQ30">
        <v>7</v>
      </c>
      <c r="AR30">
        <v>7</v>
      </c>
      <c r="AS30">
        <v>0</v>
      </c>
      <c r="AT30">
        <v>7.5</v>
      </c>
      <c r="AU30" s="6">
        <v>660</v>
      </c>
      <c r="AV30">
        <v>7</v>
      </c>
      <c r="AW30">
        <v>7</v>
      </c>
      <c r="AX30">
        <v>0</v>
      </c>
      <c r="AY30">
        <v>7</v>
      </c>
      <c r="AZ30" s="6">
        <v>638</v>
      </c>
      <c r="BA30">
        <v>5</v>
      </c>
      <c r="BB30">
        <v>9</v>
      </c>
      <c r="BC30">
        <v>0</v>
      </c>
      <c r="BD30">
        <v>3</v>
      </c>
      <c r="BE30" s="6">
        <v>526</v>
      </c>
      <c r="BF30">
        <v>3</v>
      </c>
      <c r="BG30">
        <v>10</v>
      </c>
      <c r="BH30">
        <v>1</v>
      </c>
      <c r="BI30">
        <v>4</v>
      </c>
      <c r="BJ30" s="6">
        <v>559</v>
      </c>
      <c r="BO30" s="6"/>
      <c r="BT30" s="6"/>
      <c r="BY30" s="6"/>
      <c r="CD30" s="6"/>
      <c r="CI30" s="6"/>
      <c r="CN30" s="6"/>
      <c r="CS30" s="6"/>
      <c r="CX30" s="6"/>
      <c r="CZ30">
        <v>12</v>
      </c>
      <c r="DA30">
        <f t="shared" si="2"/>
        <v>7820</v>
      </c>
      <c r="DB30">
        <f t="shared" si="1"/>
        <v>651.66666666666663</v>
      </c>
      <c r="DE30">
        <f t="shared" si="3"/>
        <v>46.547619047619044</v>
      </c>
    </row>
    <row r="31" spans="1:109" x14ac:dyDescent="0.25">
      <c r="A31" s="3">
        <v>2016</v>
      </c>
      <c r="B31" s="6"/>
      <c r="C31">
        <v>11</v>
      </c>
      <c r="D31">
        <v>3</v>
      </c>
      <c r="E31">
        <v>0</v>
      </c>
      <c r="F31">
        <v>8.5</v>
      </c>
      <c r="G31" s="6">
        <v>690</v>
      </c>
      <c r="H31">
        <v>3</v>
      </c>
      <c r="I31">
        <v>11</v>
      </c>
      <c r="J31">
        <v>0</v>
      </c>
      <c r="K31">
        <v>1.5</v>
      </c>
      <c r="L31" s="6">
        <v>499</v>
      </c>
      <c r="M31">
        <v>6</v>
      </c>
      <c r="N31">
        <v>7</v>
      </c>
      <c r="O31">
        <v>1</v>
      </c>
      <c r="P31">
        <v>10</v>
      </c>
      <c r="Q31" s="6">
        <v>692</v>
      </c>
      <c r="R31">
        <v>9</v>
      </c>
      <c r="S31">
        <v>5</v>
      </c>
      <c r="T31">
        <v>0</v>
      </c>
      <c r="U31">
        <v>10</v>
      </c>
      <c r="V31" s="6">
        <v>702</v>
      </c>
      <c r="W31">
        <v>9</v>
      </c>
      <c r="X31">
        <v>4</v>
      </c>
      <c r="Y31">
        <v>1</v>
      </c>
      <c r="Z31">
        <v>8.5</v>
      </c>
      <c r="AA31" s="6">
        <v>725</v>
      </c>
      <c r="AB31">
        <v>5</v>
      </c>
      <c r="AC31">
        <v>9</v>
      </c>
      <c r="AD31">
        <v>0</v>
      </c>
      <c r="AE31">
        <v>8.5</v>
      </c>
      <c r="AF31" s="6">
        <v>719</v>
      </c>
      <c r="AG31">
        <v>7</v>
      </c>
      <c r="AH31">
        <v>7</v>
      </c>
      <c r="AI31">
        <v>0</v>
      </c>
      <c r="AJ31">
        <v>5.5</v>
      </c>
      <c r="AK31" s="6">
        <v>649</v>
      </c>
      <c r="AL31">
        <v>8</v>
      </c>
      <c r="AM31">
        <v>6</v>
      </c>
      <c r="AN31">
        <v>0</v>
      </c>
      <c r="AO31">
        <v>7.5</v>
      </c>
      <c r="AP31" s="6">
        <v>650</v>
      </c>
      <c r="AQ31">
        <v>4</v>
      </c>
      <c r="AR31">
        <v>9</v>
      </c>
      <c r="AS31">
        <v>1</v>
      </c>
      <c r="AT31">
        <v>5.5</v>
      </c>
      <c r="AU31" s="6">
        <v>554</v>
      </c>
      <c r="AV31">
        <v>8</v>
      </c>
      <c r="AW31">
        <v>6</v>
      </c>
      <c r="AX31">
        <v>0</v>
      </c>
      <c r="AY31">
        <v>8</v>
      </c>
      <c r="AZ31" s="6">
        <v>696</v>
      </c>
      <c r="BA31">
        <v>3</v>
      </c>
      <c r="BB31">
        <v>9</v>
      </c>
      <c r="BC31">
        <v>2</v>
      </c>
      <c r="BD31">
        <v>3</v>
      </c>
      <c r="BE31" s="6">
        <v>524</v>
      </c>
      <c r="BF31">
        <v>8</v>
      </c>
      <c r="BG31">
        <v>5</v>
      </c>
      <c r="BH31">
        <v>1</v>
      </c>
      <c r="BI31">
        <v>7.5</v>
      </c>
      <c r="BJ31" s="6">
        <v>691</v>
      </c>
      <c r="BO31" s="6"/>
      <c r="BT31" s="6"/>
      <c r="BY31" s="6"/>
      <c r="CD31" s="6"/>
      <c r="CI31" s="6"/>
      <c r="CN31" s="6"/>
      <c r="CS31" s="6"/>
      <c r="CX31" s="6"/>
      <c r="CZ31">
        <v>12</v>
      </c>
      <c r="DA31">
        <f t="shared" si="2"/>
        <v>7791</v>
      </c>
      <c r="DB31">
        <f t="shared" si="1"/>
        <v>649.25</v>
      </c>
      <c r="DE31">
        <f t="shared" si="3"/>
        <v>46.375</v>
      </c>
    </row>
    <row r="32" spans="1:109" x14ac:dyDescent="0.25">
      <c r="A32" s="3">
        <v>2017</v>
      </c>
      <c r="B32" s="6"/>
      <c r="C32">
        <v>5</v>
      </c>
      <c r="D32">
        <v>9</v>
      </c>
      <c r="E32">
        <v>0</v>
      </c>
      <c r="F32">
        <v>9</v>
      </c>
      <c r="G32" s="6">
        <v>702</v>
      </c>
      <c r="H32">
        <v>5</v>
      </c>
      <c r="I32">
        <v>9</v>
      </c>
      <c r="J32">
        <v>0</v>
      </c>
      <c r="K32">
        <v>7</v>
      </c>
      <c r="L32" s="6">
        <v>622</v>
      </c>
      <c r="M32">
        <v>10</v>
      </c>
      <c r="N32">
        <v>4</v>
      </c>
      <c r="O32">
        <v>0</v>
      </c>
      <c r="P32">
        <v>7</v>
      </c>
      <c r="Q32" s="6">
        <v>615</v>
      </c>
      <c r="R32">
        <v>5</v>
      </c>
      <c r="S32">
        <v>8</v>
      </c>
      <c r="T32">
        <v>1</v>
      </c>
      <c r="U32">
        <v>6</v>
      </c>
      <c r="V32" s="6">
        <v>622</v>
      </c>
      <c r="W32">
        <v>6</v>
      </c>
      <c r="X32">
        <v>7</v>
      </c>
      <c r="Y32">
        <v>1</v>
      </c>
      <c r="Z32">
        <v>5</v>
      </c>
      <c r="AA32" s="6">
        <v>588</v>
      </c>
      <c r="AB32">
        <v>10</v>
      </c>
      <c r="AC32">
        <v>4</v>
      </c>
      <c r="AD32">
        <v>0</v>
      </c>
      <c r="AE32">
        <v>10</v>
      </c>
      <c r="AF32" s="6">
        <v>769</v>
      </c>
      <c r="AG32">
        <v>10</v>
      </c>
      <c r="AH32">
        <v>3</v>
      </c>
      <c r="AI32">
        <v>1</v>
      </c>
      <c r="AJ32">
        <v>8.5</v>
      </c>
      <c r="AK32" s="6">
        <v>678</v>
      </c>
      <c r="AL32">
        <v>3</v>
      </c>
      <c r="AM32">
        <v>11</v>
      </c>
      <c r="AN32">
        <v>0</v>
      </c>
      <c r="AO32">
        <v>5</v>
      </c>
      <c r="AP32" s="6">
        <v>531</v>
      </c>
      <c r="AQ32">
        <v>6</v>
      </c>
      <c r="AR32">
        <v>7</v>
      </c>
      <c r="AS32">
        <v>1</v>
      </c>
      <c r="AT32">
        <v>8.5</v>
      </c>
      <c r="AU32" s="6">
        <v>672</v>
      </c>
      <c r="AV32">
        <v>8</v>
      </c>
      <c r="AW32">
        <v>6</v>
      </c>
      <c r="AX32">
        <v>0</v>
      </c>
      <c r="AY32">
        <v>7</v>
      </c>
      <c r="AZ32" s="6">
        <v>617</v>
      </c>
      <c r="BA32">
        <v>5</v>
      </c>
      <c r="BB32">
        <v>9</v>
      </c>
      <c r="BC32">
        <v>0</v>
      </c>
      <c r="BD32">
        <v>3.5</v>
      </c>
      <c r="BE32" s="6">
        <v>557</v>
      </c>
      <c r="BF32">
        <v>9</v>
      </c>
      <c r="BG32">
        <v>5</v>
      </c>
      <c r="BH32">
        <v>0</v>
      </c>
      <c r="BI32">
        <v>7.5</v>
      </c>
      <c r="BJ32" s="6">
        <v>630</v>
      </c>
      <c r="BO32" s="6"/>
      <c r="BT32" s="6"/>
      <c r="BY32" s="6"/>
      <c r="CD32" s="6"/>
      <c r="CI32" s="6"/>
      <c r="CN32" s="6"/>
      <c r="CS32" s="6"/>
      <c r="CX32" s="6"/>
      <c r="CZ32">
        <v>12</v>
      </c>
      <c r="DA32">
        <f t="shared" si="2"/>
        <v>7603</v>
      </c>
      <c r="DB32">
        <f t="shared" si="1"/>
        <v>633.58333333333337</v>
      </c>
      <c r="DE32">
        <f t="shared" si="3"/>
        <v>45.255952380952387</v>
      </c>
    </row>
    <row r="33" spans="1:109" x14ac:dyDescent="0.25">
      <c r="A33" s="3">
        <v>2018</v>
      </c>
      <c r="B33" s="6"/>
      <c r="C33">
        <v>8</v>
      </c>
      <c r="D33">
        <v>6</v>
      </c>
      <c r="E33">
        <v>0</v>
      </c>
      <c r="F33">
        <v>6</v>
      </c>
      <c r="G33" s="6">
        <v>676</v>
      </c>
      <c r="H33">
        <v>4</v>
      </c>
      <c r="I33">
        <v>10</v>
      </c>
      <c r="J33">
        <v>0</v>
      </c>
      <c r="K33">
        <v>3</v>
      </c>
      <c r="L33" s="6">
        <v>595</v>
      </c>
      <c r="M33">
        <v>11</v>
      </c>
      <c r="N33">
        <v>3</v>
      </c>
      <c r="O33">
        <v>0</v>
      </c>
      <c r="P33">
        <v>12</v>
      </c>
      <c r="Q33" s="6">
        <v>896</v>
      </c>
      <c r="R33">
        <v>10</v>
      </c>
      <c r="S33">
        <v>4</v>
      </c>
      <c r="T33">
        <v>0</v>
      </c>
      <c r="U33">
        <v>5</v>
      </c>
      <c r="V33" s="6">
        <v>731</v>
      </c>
      <c r="W33">
        <v>5</v>
      </c>
      <c r="X33">
        <v>9</v>
      </c>
      <c r="Y33">
        <v>0</v>
      </c>
      <c r="Z33">
        <v>7</v>
      </c>
      <c r="AA33" s="6">
        <v>687</v>
      </c>
      <c r="AB33">
        <v>9</v>
      </c>
      <c r="AC33">
        <v>5</v>
      </c>
      <c r="AD33">
        <v>0</v>
      </c>
      <c r="AE33">
        <v>9.67</v>
      </c>
      <c r="AF33" s="6">
        <v>831</v>
      </c>
      <c r="AG33">
        <v>6</v>
      </c>
      <c r="AH33">
        <v>8</v>
      </c>
      <c r="AI33">
        <v>0</v>
      </c>
      <c r="AJ33">
        <v>4</v>
      </c>
      <c r="AK33" s="6">
        <v>685</v>
      </c>
      <c r="AL33">
        <v>8</v>
      </c>
      <c r="AM33">
        <v>5</v>
      </c>
      <c r="AN33">
        <v>1</v>
      </c>
      <c r="AO33">
        <v>9.67</v>
      </c>
      <c r="AP33" s="6">
        <v>791</v>
      </c>
      <c r="AQ33">
        <v>8</v>
      </c>
      <c r="AR33">
        <v>6</v>
      </c>
      <c r="AS33">
        <v>0</v>
      </c>
      <c r="AT33">
        <v>10</v>
      </c>
      <c r="AU33" s="6">
        <v>856</v>
      </c>
      <c r="AV33">
        <v>6</v>
      </c>
      <c r="AW33">
        <v>7</v>
      </c>
      <c r="AX33">
        <v>1</v>
      </c>
      <c r="AY33">
        <v>8</v>
      </c>
      <c r="AZ33" s="6">
        <v>746</v>
      </c>
      <c r="BA33">
        <v>3</v>
      </c>
      <c r="BB33">
        <v>11</v>
      </c>
      <c r="BC33">
        <v>0</v>
      </c>
      <c r="BD33">
        <v>5</v>
      </c>
      <c r="BE33" s="6">
        <v>638</v>
      </c>
      <c r="BF33">
        <v>5</v>
      </c>
      <c r="BG33">
        <v>9</v>
      </c>
      <c r="BH33">
        <v>0</v>
      </c>
      <c r="BI33">
        <v>4.67</v>
      </c>
      <c r="BJ33" s="6">
        <v>600</v>
      </c>
      <c r="BO33" s="6"/>
      <c r="BT33" s="6"/>
      <c r="BY33" s="6"/>
      <c r="CD33" s="6"/>
      <c r="CI33" s="6"/>
      <c r="CN33" s="6"/>
      <c r="CS33" s="6"/>
      <c r="CX33" s="6"/>
      <c r="CZ33">
        <v>12</v>
      </c>
      <c r="DA33">
        <f t="shared" si="2"/>
        <v>8732</v>
      </c>
      <c r="DB33">
        <f t="shared" si="1"/>
        <v>727.66666666666663</v>
      </c>
      <c r="DE33">
        <f t="shared" si="3"/>
        <v>51.976190476190474</v>
      </c>
    </row>
    <row r="34" spans="1:109" x14ac:dyDescent="0.25">
      <c r="A34" s="3">
        <v>2019</v>
      </c>
      <c r="B34" s="6"/>
      <c r="C34">
        <v>6</v>
      </c>
      <c r="D34">
        <v>8</v>
      </c>
      <c r="E34">
        <v>0</v>
      </c>
      <c r="F34">
        <v>7</v>
      </c>
      <c r="G34" s="6">
        <v>682</v>
      </c>
      <c r="H34">
        <v>8</v>
      </c>
      <c r="I34">
        <v>6</v>
      </c>
      <c r="J34">
        <v>0</v>
      </c>
      <c r="K34">
        <v>4</v>
      </c>
      <c r="L34" s="6">
        <v>632</v>
      </c>
      <c r="M34">
        <v>8</v>
      </c>
      <c r="N34">
        <v>6</v>
      </c>
      <c r="O34">
        <v>0</v>
      </c>
      <c r="P34">
        <v>7</v>
      </c>
      <c r="Q34" s="6">
        <v>683</v>
      </c>
      <c r="R34">
        <v>6</v>
      </c>
      <c r="S34">
        <v>8</v>
      </c>
      <c r="T34">
        <v>0</v>
      </c>
      <c r="U34">
        <v>7</v>
      </c>
      <c r="V34" s="6">
        <v>633</v>
      </c>
      <c r="W34">
        <v>5</v>
      </c>
      <c r="X34">
        <v>9</v>
      </c>
      <c r="Y34">
        <v>0</v>
      </c>
      <c r="Z34">
        <v>6</v>
      </c>
      <c r="AA34" s="6">
        <v>698</v>
      </c>
      <c r="AB34">
        <v>9</v>
      </c>
      <c r="AC34">
        <v>5</v>
      </c>
      <c r="AD34">
        <v>0</v>
      </c>
      <c r="AE34">
        <v>7</v>
      </c>
      <c r="AF34" s="6">
        <v>719</v>
      </c>
      <c r="AG34">
        <v>5</v>
      </c>
      <c r="AH34">
        <v>9</v>
      </c>
      <c r="AI34">
        <v>0</v>
      </c>
      <c r="AJ34">
        <v>8</v>
      </c>
      <c r="AK34" s="6">
        <v>740</v>
      </c>
      <c r="AL34">
        <v>7</v>
      </c>
      <c r="AM34">
        <v>7</v>
      </c>
      <c r="AN34">
        <v>0</v>
      </c>
      <c r="AO34">
        <v>7</v>
      </c>
      <c r="AP34" s="6">
        <v>723</v>
      </c>
      <c r="AQ34">
        <v>7</v>
      </c>
      <c r="AR34">
        <v>7</v>
      </c>
      <c r="AS34">
        <v>0</v>
      </c>
      <c r="AT34">
        <v>8</v>
      </c>
      <c r="AU34" s="6">
        <v>737</v>
      </c>
      <c r="AV34">
        <v>6</v>
      </c>
      <c r="AW34">
        <v>8</v>
      </c>
      <c r="AX34">
        <v>0</v>
      </c>
      <c r="AY34">
        <v>6</v>
      </c>
      <c r="AZ34" s="6">
        <v>626</v>
      </c>
      <c r="BA34">
        <v>6</v>
      </c>
      <c r="BB34">
        <v>8</v>
      </c>
      <c r="BC34">
        <v>0</v>
      </c>
      <c r="BD34">
        <v>4</v>
      </c>
      <c r="BE34" s="6">
        <v>642</v>
      </c>
      <c r="BF34">
        <v>11</v>
      </c>
      <c r="BG34">
        <v>3</v>
      </c>
      <c r="BH34">
        <v>0</v>
      </c>
      <c r="BI34" s="30">
        <v>13</v>
      </c>
      <c r="BJ34" s="6">
        <v>838</v>
      </c>
      <c r="BO34" s="6"/>
      <c r="BT34" s="6"/>
      <c r="BY34" s="6"/>
      <c r="CD34" s="6"/>
      <c r="CI34" s="6"/>
      <c r="CN34" s="6"/>
      <c r="CS34" s="6"/>
      <c r="CX34" s="6"/>
      <c r="CZ34">
        <v>12</v>
      </c>
      <c r="DA34">
        <f t="shared" si="2"/>
        <v>8353</v>
      </c>
      <c r="DB34">
        <f>+DA34/CZ34</f>
        <v>696.08333333333337</v>
      </c>
      <c r="DC34">
        <f>SUM(DB28:DB34)</f>
        <v>4715.833333333333</v>
      </c>
      <c r="DD34">
        <f>+DC34/7</f>
        <v>673.69047619047615</v>
      </c>
      <c r="DE34">
        <f t="shared" si="3"/>
        <v>49.720238095238095</v>
      </c>
    </row>
    <row r="35" spans="1:109" x14ac:dyDescent="0.25">
      <c r="A35" s="3">
        <v>2020</v>
      </c>
      <c r="B35" s="6"/>
      <c r="C35">
        <v>9</v>
      </c>
      <c r="D35">
        <v>5</v>
      </c>
      <c r="E35">
        <v>0</v>
      </c>
      <c r="F35">
        <v>9</v>
      </c>
      <c r="G35" s="6">
        <v>809</v>
      </c>
      <c r="H35">
        <v>7</v>
      </c>
      <c r="I35">
        <v>7</v>
      </c>
      <c r="J35">
        <v>0</v>
      </c>
      <c r="K35">
        <v>8</v>
      </c>
      <c r="L35" s="6">
        <v>657</v>
      </c>
      <c r="M35">
        <v>3</v>
      </c>
      <c r="N35">
        <v>11</v>
      </c>
      <c r="O35">
        <v>0</v>
      </c>
      <c r="P35">
        <v>4</v>
      </c>
      <c r="Q35" s="6">
        <v>668</v>
      </c>
      <c r="R35">
        <v>7</v>
      </c>
      <c r="S35">
        <v>7</v>
      </c>
      <c r="T35">
        <v>0</v>
      </c>
      <c r="U35">
        <v>6.5</v>
      </c>
      <c r="V35" s="6">
        <v>751</v>
      </c>
      <c r="W35">
        <v>10</v>
      </c>
      <c r="X35">
        <v>4</v>
      </c>
      <c r="Y35">
        <v>0</v>
      </c>
      <c r="Z35">
        <v>9</v>
      </c>
      <c r="AA35" s="6">
        <v>902</v>
      </c>
      <c r="AB35">
        <v>9</v>
      </c>
      <c r="AC35">
        <v>5</v>
      </c>
      <c r="AD35">
        <v>0</v>
      </c>
      <c r="AE35">
        <v>9</v>
      </c>
      <c r="AF35" s="6">
        <v>768</v>
      </c>
      <c r="AG35">
        <v>8</v>
      </c>
      <c r="AH35">
        <v>6</v>
      </c>
      <c r="AI35">
        <v>0</v>
      </c>
      <c r="AJ35">
        <v>9</v>
      </c>
      <c r="AK35" s="6">
        <v>817</v>
      </c>
      <c r="AL35">
        <v>3</v>
      </c>
      <c r="AM35">
        <v>11</v>
      </c>
      <c r="AN35">
        <v>0</v>
      </c>
      <c r="AO35">
        <v>6</v>
      </c>
      <c r="AP35" s="6">
        <v>680</v>
      </c>
      <c r="AQ35">
        <v>10</v>
      </c>
      <c r="AR35">
        <v>4</v>
      </c>
      <c r="AS35">
        <v>0</v>
      </c>
      <c r="AT35">
        <v>9</v>
      </c>
      <c r="AU35" s="6">
        <v>819</v>
      </c>
      <c r="AV35">
        <v>9</v>
      </c>
      <c r="AW35">
        <v>5</v>
      </c>
      <c r="AX35">
        <v>0</v>
      </c>
      <c r="AY35">
        <v>7</v>
      </c>
      <c r="AZ35" s="6">
        <v>753</v>
      </c>
      <c r="BA35">
        <v>6</v>
      </c>
      <c r="BB35">
        <v>8</v>
      </c>
      <c r="BC35">
        <v>0</v>
      </c>
      <c r="BD35">
        <v>5.5</v>
      </c>
      <c r="BE35" s="6">
        <v>742</v>
      </c>
      <c r="BF35">
        <v>3</v>
      </c>
      <c r="BG35">
        <v>11</v>
      </c>
      <c r="BH35">
        <v>0</v>
      </c>
      <c r="BI35">
        <v>2</v>
      </c>
      <c r="BJ35" s="6">
        <v>582</v>
      </c>
      <c r="BO35" s="6"/>
      <c r="BT35" s="6"/>
      <c r="BY35" s="6"/>
      <c r="CD35" s="6"/>
      <c r="CI35" s="6"/>
      <c r="CN35" s="6"/>
      <c r="CS35" s="6"/>
      <c r="CX35" s="6"/>
      <c r="CZ35">
        <v>12</v>
      </c>
      <c r="DA35">
        <f t="shared" si="2"/>
        <v>8948</v>
      </c>
      <c r="DB35">
        <f>+DA35/CZ35</f>
        <v>745.66666666666663</v>
      </c>
      <c r="DC35">
        <f>SUM(DB28:DB35)</f>
        <v>5461.5</v>
      </c>
      <c r="DD35">
        <f>+DC35/8</f>
        <v>682.6875</v>
      </c>
      <c r="DE35">
        <f t="shared" si="3"/>
        <v>53.261904761904759</v>
      </c>
    </row>
    <row r="36" spans="1:109" x14ac:dyDescent="0.25">
      <c r="A36" s="3">
        <v>2021</v>
      </c>
      <c r="B36" s="6"/>
      <c r="C36">
        <v>8</v>
      </c>
      <c r="D36">
        <v>7</v>
      </c>
      <c r="E36">
        <v>0</v>
      </c>
      <c r="F36">
        <v>9</v>
      </c>
      <c r="G36" s="6">
        <v>751</v>
      </c>
      <c r="H36">
        <v>7</v>
      </c>
      <c r="I36">
        <v>8</v>
      </c>
      <c r="J36">
        <v>0</v>
      </c>
      <c r="K36">
        <v>8</v>
      </c>
      <c r="L36" s="6">
        <v>747</v>
      </c>
      <c r="M36">
        <v>4</v>
      </c>
      <c r="N36">
        <v>10</v>
      </c>
      <c r="O36">
        <v>1</v>
      </c>
      <c r="P36">
        <v>7</v>
      </c>
      <c r="Q36" s="6">
        <v>670</v>
      </c>
      <c r="R36">
        <v>10</v>
      </c>
      <c r="S36">
        <v>5</v>
      </c>
      <c r="T36">
        <v>0</v>
      </c>
      <c r="U36">
        <v>8</v>
      </c>
      <c r="V36" s="6">
        <v>744</v>
      </c>
      <c r="W36">
        <v>11</v>
      </c>
      <c r="X36">
        <v>4</v>
      </c>
      <c r="Y36">
        <v>0</v>
      </c>
      <c r="Z36">
        <v>11</v>
      </c>
      <c r="AA36" s="6">
        <v>864</v>
      </c>
      <c r="AB36">
        <v>6</v>
      </c>
      <c r="AC36">
        <v>8</v>
      </c>
      <c r="AD36">
        <v>1</v>
      </c>
      <c r="AE36">
        <v>4</v>
      </c>
      <c r="AF36" s="6">
        <v>751</v>
      </c>
      <c r="AG36">
        <v>9</v>
      </c>
      <c r="AH36">
        <v>5</v>
      </c>
      <c r="AI36">
        <v>1</v>
      </c>
      <c r="AJ36">
        <v>9</v>
      </c>
      <c r="AK36" s="6">
        <v>806</v>
      </c>
      <c r="AL36">
        <v>5</v>
      </c>
      <c r="AM36">
        <v>9</v>
      </c>
      <c r="AN36">
        <v>1</v>
      </c>
      <c r="AO36">
        <v>3</v>
      </c>
      <c r="AP36" s="6">
        <v>574</v>
      </c>
      <c r="AQ36">
        <v>7</v>
      </c>
      <c r="AR36">
        <v>8</v>
      </c>
      <c r="AS36">
        <v>0</v>
      </c>
      <c r="AT36">
        <v>9</v>
      </c>
      <c r="AU36" s="6">
        <v>864</v>
      </c>
      <c r="AV36">
        <v>8</v>
      </c>
      <c r="AW36">
        <v>5</v>
      </c>
      <c r="AX36">
        <v>2</v>
      </c>
      <c r="AY36">
        <v>9</v>
      </c>
      <c r="AZ36" s="6">
        <v>788</v>
      </c>
      <c r="BE36" s="6"/>
      <c r="BF36">
        <v>6</v>
      </c>
      <c r="BG36">
        <v>9</v>
      </c>
      <c r="BH36">
        <v>0</v>
      </c>
      <c r="BI36">
        <v>7</v>
      </c>
      <c r="BJ36" s="6">
        <v>710</v>
      </c>
      <c r="BK36">
        <v>6</v>
      </c>
      <c r="BL36">
        <v>9</v>
      </c>
      <c r="BM36">
        <v>0</v>
      </c>
      <c r="BN36">
        <v>6</v>
      </c>
      <c r="BO36" s="6">
        <v>702</v>
      </c>
      <c r="BT36" s="6"/>
      <c r="BY36" s="6"/>
      <c r="CD36" s="6"/>
      <c r="CI36" s="6"/>
      <c r="CN36" s="6"/>
      <c r="CS36" s="6"/>
      <c r="CX36" s="6"/>
      <c r="CZ36">
        <v>12</v>
      </c>
      <c r="DA36">
        <f t="shared" si="2"/>
        <v>8971</v>
      </c>
      <c r="DB36">
        <f>+DA36/CZ36</f>
        <v>747.58333333333337</v>
      </c>
      <c r="DC36">
        <f>SUM(DB28:DB36)</f>
        <v>6209.083333333333</v>
      </c>
      <c r="DD36">
        <f>+DC36/9</f>
        <v>689.89814814814815</v>
      </c>
      <c r="DE36">
        <f>+DB36/15</f>
        <v>49.838888888888889</v>
      </c>
    </row>
    <row r="37" spans="1:109" x14ac:dyDescent="0.25">
      <c r="A37" s="3">
        <v>2022</v>
      </c>
      <c r="B37" s="6"/>
      <c r="G37" s="6"/>
      <c r="H37">
        <v>11</v>
      </c>
      <c r="I37">
        <v>4</v>
      </c>
      <c r="J37">
        <v>0</v>
      </c>
      <c r="K37" s="45">
        <v>10</v>
      </c>
      <c r="L37" s="6">
        <v>755</v>
      </c>
      <c r="M37">
        <v>4</v>
      </c>
      <c r="N37">
        <v>9</v>
      </c>
      <c r="O37">
        <v>2</v>
      </c>
      <c r="P37">
        <v>5</v>
      </c>
      <c r="Q37" s="6">
        <v>603</v>
      </c>
      <c r="R37">
        <v>3</v>
      </c>
      <c r="S37">
        <v>12</v>
      </c>
      <c r="T37">
        <v>0</v>
      </c>
      <c r="U37">
        <v>3</v>
      </c>
      <c r="V37" s="6">
        <v>509</v>
      </c>
      <c r="W37">
        <v>12</v>
      </c>
      <c r="X37">
        <v>3</v>
      </c>
      <c r="Y37">
        <v>0</v>
      </c>
      <c r="Z37">
        <v>10</v>
      </c>
      <c r="AA37" s="6">
        <v>769</v>
      </c>
      <c r="AB37">
        <v>8</v>
      </c>
      <c r="AC37">
        <v>7</v>
      </c>
      <c r="AD37">
        <v>0</v>
      </c>
      <c r="AE37">
        <v>9</v>
      </c>
      <c r="AF37" s="6">
        <v>744</v>
      </c>
      <c r="AG37">
        <v>6</v>
      </c>
      <c r="AH37">
        <v>7</v>
      </c>
      <c r="AI37">
        <v>2</v>
      </c>
      <c r="AJ37">
        <v>9.5</v>
      </c>
      <c r="AK37" s="6">
        <v>776</v>
      </c>
      <c r="AL37">
        <v>4</v>
      </c>
      <c r="AM37">
        <v>10</v>
      </c>
      <c r="AN37">
        <v>1</v>
      </c>
      <c r="AO37">
        <v>2</v>
      </c>
      <c r="AP37" s="6">
        <v>573</v>
      </c>
      <c r="AQ37">
        <v>8</v>
      </c>
      <c r="AR37">
        <v>5</v>
      </c>
      <c r="AS37">
        <v>2</v>
      </c>
      <c r="AT37" s="45">
        <v>12.5</v>
      </c>
      <c r="AU37" s="6">
        <v>857</v>
      </c>
      <c r="AV37">
        <v>7</v>
      </c>
      <c r="AW37">
        <v>8</v>
      </c>
      <c r="AX37">
        <v>0</v>
      </c>
      <c r="AY37">
        <v>4.5</v>
      </c>
      <c r="AZ37" s="6">
        <v>595</v>
      </c>
      <c r="BE37" s="6"/>
      <c r="BF37">
        <v>6</v>
      </c>
      <c r="BG37">
        <v>9</v>
      </c>
      <c r="BH37">
        <v>0</v>
      </c>
      <c r="BI37">
        <v>8</v>
      </c>
      <c r="BJ37" s="6">
        <v>761</v>
      </c>
      <c r="BK37">
        <v>9</v>
      </c>
      <c r="BL37">
        <v>6</v>
      </c>
      <c r="BM37">
        <v>0</v>
      </c>
      <c r="BN37">
        <v>8</v>
      </c>
      <c r="BO37" s="6">
        <v>760</v>
      </c>
      <c r="BP37">
        <v>8</v>
      </c>
      <c r="BQ37">
        <v>6</v>
      </c>
      <c r="BR37">
        <v>1</v>
      </c>
      <c r="BS37">
        <v>8.5</v>
      </c>
      <c r="BT37" s="6">
        <v>730</v>
      </c>
      <c r="BY37" s="6"/>
      <c r="CD37" s="6"/>
      <c r="CI37" s="6"/>
      <c r="CN37" s="6"/>
      <c r="CS37" s="6"/>
      <c r="CX37" s="6"/>
      <c r="CZ37">
        <v>12</v>
      </c>
      <c r="DA37">
        <f t="shared" si="2"/>
        <v>8432</v>
      </c>
      <c r="DB37">
        <f>+DA37/CZ37</f>
        <v>702.66666666666663</v>
      </c>
      <c r="DC37">
        <f>SUM(DB28:DB37)</f>
        <v>6911.75</v>
      </c>
      <c r="DD37">
        <f>+DC37/10</f>
        <v>691.17499999999995</v>
      </c>
      <c r="DE37">
        <f>+DB37/15</f>
        <v>46.844444444444441</v>
      </c>
    </row>
    <row r="38" spans="1:109" x14ac:dyDescent="0.25">
      <c r="A38" s="3">
        <v>2023</v>
      </c>
      <c r="B38" s="6"/>
      <c r="G38" s="6"/>
      <c r="H38">
        <v>6</v>
      </c>
      <c r="I38">
        <v>9</v>
      </c>
      <c r="J38">
        <v>0</v>
      </c>
      <c r="K38" s="45">
        <v>5</v>
      </c>
      <c r="L38" s="6">
        <v>673</v>
      </c>
      <c r="M38">
        <v>10</v>
      </c>
      <c r="N38">
        <v>4</v>
      </c>
      <c r="O38">
        <v>1</v>
      </c>
      <c r="P38">
        <v>6</v>
      </c>
      <c r="Q38" s="6">
        <v>705</v>
      </c>
      <c r="R38">
        <v>9</v>
      </c>
      <c r="S38">
        <v>5</v>
      </c>
      <c r="T38">
        <v>1</v>
      </c>
      <c r="U38">
        <v>7</v>
      </c>
      <c r="V38" s="6">
        <v>615</v>
      </c>
      <c r="W38">
        <v>8</v>
      </c>
      <c r="X38">
        <v>7</v>
      </c>
      <c r="Y38">
        <v>0</v>
      </c>
      <c r="Z38">
        <v>10</v>
      </c>
      <c r="AA38" s="6">
        <v>851</v>
      </c>
      <c r="AB38">
        <v>3</v>
      </c>
      <c r="AC38">
        <v>12</v>
      </c>
      <c r="AD38">
        <v>0</v>
      </c>
      <c r="AE38">
        <v>6</v>
      </c>
      <c r="AF38" s="6">
        <v>740</v>
      </c>
      <c r="AG38">
        <v>9</v>
      </c>
      <c r="AH38">
        <v>4</v>
      </c>
      <c r="AI38">
        <v>2</v>
      </c>
      <c r="AJ38">
        <v>10</v>
      </c>
      <c r="AK38" s="6">
        <v>786</v>
      </c>
      <c r="AL38">
        <v>5</v>
      </c>
      <c r="AM38">
        <v>10</v>
      </c>
      <c r="AN38">
        <v>0</v>
      </c>
      <c r="AO38">
        <v>6</v>
      </c>
      <c r="AP38" s="6">
        <v>645</v>
      </c>
      <c r="AQ38">
        <v>10</v>
      </c>
      <c r="AR38">
        <v>5</v>
      </c>
      <c r="AS38">
        <v>0</v>
      </c>
      <c r="AT38" s="48">
        <v>12</v>
      </c>
      <c r="AU38" s="6">
        <v>814</v>
      </c>
      <c r="AV38">
        <v>8</v>
      </c>
      <c r="AW38">
        <v>6</v>
      </c>
      <c r="AX38">
        <v>1</v>
      </c>
      <c r="AY38">
        <v>11</v>
      </c>
      <c r="AZ38" s="6">
        <v>825</v>
      </c>
      <c r="BE38" s="6"/>
      <c r="BF38">
        <v>8</v>
      </c>
      <c r="BG38">
        <v>6</v>
      </c>
      <c r="BH38">
        <v>1</v>
      </c>
      <c r="BI38">
        <v>9</v>
      </c>
      <c r="BJ38" s="6">
        <v>700</v>
      </c>
      <c r="BK38">
        <v>7</v>
      </c>
      <c r="BL38">
        <v>8</v>
      </c>
      <c r="BM38">
        <v>0</v>
      </c>
      <c r="BN38">
        <v>3</v>
      </c>
      <c r="BO38" s="6">
        <v>588</v>
      </c>
      <c r="BP38">
        <v>4</v>
      </c>
      <c r="BQ38">
        <v>11</v>
      </c>
      <c r="BR38">
        <v>0</v>
      </c>
      <c r="BS38">
        <v>5</v>
      </c>
      <c r="BT38" s="6">
        <v>648</v>
      </c>
      <c r="BY38" s="6"/>
      <c r="CD38" s="6"/>
      <c r="CI38" s="6"/>
      <c r="CN38" s="6"/>
      <c r="CS38" s="6"/>
      <c r="CX38" s="6"/>
      <c r="CZ38">
        <v>12</v>
      </c>
      <c r="DA38">
        <f t="shared" ref="DA38" si="4">+G38+L38+Q38+V38+AA38+AF38+AK38+AP38+AU38+AZ38+BE38+BJ38+BO38+BT38+BY38+CD38+CI38+CN38+CS38+CX38</f>
        <v>8590</v>
      </c>
      <c r="DB38">
        <f t="shared" ref="DB38" si="5">+DA38/CZ38</f>
        <v>715.83333333333337</v>
      </c>
      <c r="DC38">
        <f>SUM(DB28:DB38)</f>
        <v>7627.583333333333</v>
      </c>
      <c r="DD38">
        <f>+DC38/11</f>
        <v>693.41666666666663</v>
      </c>
      <c r="DE38">
        <f t="shared" ref="DE38" si="6">+DB38/15</f>
        <v>47.722222222222221</v>
      </c>
    </row>
    <row r="39" spans="1:109" x14ac:dyDescent="0.25">
      <c r="A39" s="3">
        <v>2024</v>
      </c>
      <c r="B39" s="6"/>
      <c r="G39" s="6"/>
      <c r="H39">
        <v>9</v>
      </c>
      <c r="I39">
        <v>6</v>
      </c>
      <c r="J39">
        <v>0</v>
      </c>
      <c r="K39" s="45">
        <v>9</v>
      </c>
      <c r="L39" s="6">
        <v>781</v>
      </c>
      <c r="M39">
        <v>9</v>
      </c>
      <c r="N39">
        <v>6</v>
      </c>
      <c r="O39">
        <v>0</v>
      </c>
      <c r="P39">
        <v>8.5</v>
      </c>
      <c r="Q39" s="6">
        <v>726</v>
      </c>
      <c r="R39">
        <v>5</v>
      </c>
      <c r="S39">
        <v>9</v>
      </c>
      <c r="T39">
        <v>1</v>
      </c>
      <c r="U39">
        <v>2.5</v>
      </c>
      <c r="V39" s="6">
        <v>623</v>
      </c>
      <c r="W39">
        <v>9</v>
      </c>
      <c r="X39">
        <v>6</v>
      </c>
      <c r="Y39">
        <v>0</v>
      </c>
      <c r="Z39">
        <v>12</v>
      </c>
      <c r="AA39" s="6">
        <v>972</v>
      </c>
      <c r="AB39">
        <v>8</v>
      </c>
      <c r="AC39">
        <v>7</v>
      </c>
      <c r="AD39">
        <v>0</v>
      </c>
      <c r="AE39">
        <v>7</v>
      </c>
      <c r="AF39" s="6">
        <v>702</v>
      </c>
      <c r="AG39">
        <v>6</v>
      </c>
      <c r="AH39">
        <v>9</v>
      </c>
      <c r="AI39">
        <v>0</v>
      </c>
      <c r="AJ39">
        <v>6.5</v>
      </c>
      <c r="AK39" s="6">
        <v>710</v>
      </c>
      <c r="AL39">
        <v>3</v>
      </c>
      <c r="AM39">
        <v>12</v>
      </c>
      <c r="AN39">
        <v>0</v>
      </c>
      <c r="AO39">
        <v>5</v>
      </c>
      <c r="AP39" s="6">
        <v>661</v>
      </c>
      <c r="AQ39">
        <v>10</v>
      </c>
      <c r="AR39">
        <v>5</v>
      </c>
      <c r="AS39">
        <v>0</v>
      </c>
      <c r="AT39" s="48">
        <v>10</v>
      </c>
      <c r="AU39" s="6">
        <v>802</v>
      </c>
      <c r="AV39">
        <v>9</v>
      </c>
      <c r="AW39">
        <v>6</v>
      </c>
      <c r="AX39">
        <v>0</v>
      </c>
      <c r="AY39">
        <v>9</v>
      </c>
      <c r="AZ39" s="6">
        <v>751</v>
      </c>
      <c r="BE39" s="6"/>
      <c r="BF39">
        <v>6</v>
      </c>
      <c r="BG39">
        <v>9</v>
      </c>
      <c r="BH39">
        <v>0</v>
      </c>
      <c r="BI39">
        <v>6</v>
      </c>
      <c r="BJ39" s="6">
        <v>735</v>
      </c>
      <c r="BK39">
        <v>11</v>
      </c>
      <c r="BL39">
        <v>4</v>
      </c>
      <c r="BM39">
        <v>0</v>
      </c>
      <c r="BN39">
        <v>10</v>
      </c>
      <c r="BO39" s="6">
        <v>865</v>
      </c>
      <c r="BP39">
        <v>4</v>
      </c>
      <c r="BQ39">
        <v>10</v>
      </c>
      <c r="BR39">
        <v>1</v>
      </c>
      <c r="BS39">
        <v>4.5</v>
      </c>
      <c r="BT39" s="6">
        <v>699</v>
      </c>
      <c r="BY39" s="6"/>
      <c r="CD39" s="6"/>
      <c r="CI39" s="6"/>
      <c r="CN39" s="6"/>
      <c r="CS39" s="6"/>
      <c r="CX39" s="6"/>
      <c r="CZ39">
        <v>12</v>
      </c>
      <c r="DA39">
        <f t="shared" ref="DA39" si="7">+G39+L39+Q39+V39+AA39+AF39+AK39+AP39+AU39+AZ39+BE39+BJ39+BO39+BT39+BY39+CD39+CI39+CN39+CS39+CX39</f>
        <v>9027</v>
      </c>
      <c r="DB39">
        <f t="shared" ref="DB39" si="8">+DA39/CZ39</f>
        <v>752.25</v>
      </c>
      <c r="DC39">
        <f>SUM(DB28:DB39)</f>
        <v>8379.8333333333321</v>
      </c>
      <c r="DD39">
        <f>+DC39/12</f>
        <v>698.31944444444434</v>
      </c>
      <c r="DE39">
        <f t="shared" ref="DE39" si="9">+DB39/15</f>
        <v>50.15</v>
      </c>
    </row>
    <row r="40" spans="1:109" x14ac:dyDescent="0.25">
      <c r="A40" s="3"/>
      <c r="B40" s="6"/>
      <c r="G40" s="6"/>
      <c r="K40" s="45"/>
      <c r="L40" s="6"/>
      <c r="Q40" s="6"/>
      <c r="V40" s="6"/>
      <c r="AA40" s="6"/>
      <c r="AF40" s="6"/>
      <c r="AK40" s="6"/>
      <c r="AP40" s="6"/>
      <c r="AT40" s="45"/>
      <c r="AU40" s="6"/>
      <c r="AZ40" s="6"/>
      <c r="BE40" s="6"/>
      <c r="BJ40" s="6"/>
      <c r="BO40" s="6"/>
      <c r="BT40" s="6"/>
      <c r="BY40" s="6"/>
      <c r="CD40" s="6"/>
      <c r="CI40" s="6"/>
      <c r="CN40" s="6"/>
      <c r="CS40" s="6"/>
      <c r="CX40" s="6"/>
    </row>
    <row r="41" spans="1:109" ht="13" thickBot="1" x14ac:dyDescent="0.3">
      <c r="A41" t="s">
        <v>35</v>
      </c>
      <c r="B41" s="6"/>
      <c r="C41" s="8">
        <f t="shared" ref="C41:AH41" si="10">SUM(C3:C40)</f>
        <v>240</v>
      </c>
      <c r="D41" s="8">
        <f t="shared" si="10"/>
        <v>244</v>
      </c>
      <c r="E41" s="8">
        <f t="shared" si="10"/>
        <v>10</v>
      </c>
      <c r="F41" s="46">
        <f t="shared" si="10"/>
        <v>104</v>
      </c>
      <c r="G41" s="31">
        <f t="shared" si="10"/>
        <v>23942</v>
      </c>
      <c r="H41" s="8">
        <f t="shared" si="10"/>
        <v>308</v>
      </c>
      <c r="I41" s="8">
        <f t="shared" si="10"/>
        <v>224</v>
      </c>
      <c r="J41" s="8">
        <f t="shared" si="10"/>
        <v>7</v>
      </c>
      <c r="K41" s="46">
        <f t="shared" si="10"/>
        <v>110.5</v>
      </c>
      <c r="L41" s="31">
        <f t="shared" si="10"/>
        <v>27719</v>
      </c>
      <c r="M41" s="8">
        <f t="shared" si="10"/>
        <v>301</v>
      </c>
      <c r="N41" s="8">
        <f t="shared" si="10"/>
        <v>228</v>
      </c>
      <c r="O41" s="8">
        <f t="shared" si="10"/>
        <v>10</v>
      </c>
      <c r="P41" s="46">
        <f t="shared" si="10"/>
        <v>128.69999999999999</v>
      </c>
      <c r="Q41" s="31">
        <f t="shared" si="10"/>
        <v>27075</v>
      </c>
      <c r="R41" s="8">
        <f t="shared" si="10"/>
        <v>249</v>
      </c>
      <c r="S41" s="8">
        <f t="shared" si="10"/>
        <v>271</v>
      </c>
      <c r="T41" s="8">
        <f t="shared" si="10"/>
        <v>5</v>
      </c>
      <c r="U41" s="46">
        <f t="shared" si="10"/>
        <v>97.7</v>
      </c>
      <c r="V41" s="31">
        <f t="shared" si="10"/>
        <v>24922</v>
      </c>
      <c r="W41" s="8">
        <f t="shared" si="10"/>
        <v>264</v>
      </c>
      <c r="X41" s="8">
        <f t="shared" si="10"/>
        <v>248</v>
      </c>
      <c r="Y41" s="8">
        <f t="shared" si="10"/>
        <v>11</v>
      </c>
      <c r="Z41" s="46">
        <f t="shared" si="10"/>
        <v>122</v>
      </c>
      <c r="AA41" s="31">
        <f t="shared" si="10"/>
        <v>25409</v>
      </c>
      <c r="AB41" s="8">
        <f t="shared" si="10"/>
        <v>254</v>
      </c>
      <c r="AC41" s="8">
        <f t="shared" si="10"/>
        <v>233</v>
      </c>
      <c r="AD41" s="8">
        <f t="shared" si="10"/>
        <v>9</v>
      </c>
      <c r="AE41" s="46">
        <f t="shared" si="10"/>
        <v>130.87</v>
      </c>
      <c r="AF41" s="31">
        <f t="shared" si="10"/>
        <v>24502</v>
      </c>
      <c r="AG41" s="8">
        <f t="shared" si="10"/>
        <v>166</v>
      </c>
      <c r="AH41" s="8">
        <f t="shared" si="10"/>
        <v>170</v>
      </c>
      <c r="AI41" s="8">
        <f t="shared" ref="AI41:BN41" si="11">SUM(AI3:AI40)</f>
        <v>9</v>
      </c>
      <c r="AJ41" s="46">
        <f t="shared" si="11"/>
        <v>118</v>
      </c>
      <c r="AK41" s="31">
        <f t="shared" si="11"/>
        <v>16554</v>
      </c>
      <c r="AL41" s="8">
        <f t="shared" si="11"/>
        <v>126</v>
      </c>
      <c r="AM41" s="8">
        <f t="shared" si="11"/>
        <v>191</v>
      </c>
      <c r="AN41" s="8">
        <f t="shared" si="11"/>
        <v>13</v>
      </c>
      <c r="AO41" s="46">
        <f t="shared" si="11"/>
        <v>96.67</v>
      </c>
      <c r="AP41" s="31">
        <f t="shared" si="11"/>
        <v>15299</v>
      </c>
      <c r="AQ41" s="8">
        <f t="shared" si="11"/>
        <v>172</v>
      </c>
      <c r="AR41" s="8">
        <f t="shared" si="11"/>
        <v>153</v>
      </c>
      <c r="AS41" s="8">
        <f t="shared" si="11"/>
        <v>5</v>
      </c>
      <c r="AT41" s="46">
        <f t="shared" si="11"/>
        <v>135.5</v>
      </c>
      <c r="AU41" s="31">
        <f t="shared" si="11"/>
        <v>16997</v>
      </c>
      <c r="AV41" s="8">
        <f t="shared" si="11"/>
        <v>143</v>
      </c>
      <c r="AW41" s="8">
        <f t="shared" si="11"/>
        <v>122</v>
      </c>
      <c r="AX41" s="8">
        <f t="shared" si="11"/>
        <v>5</v>
      </c>
      <c r="AY41" s="46">
        <f t="shared" si="11"/>
        <v>120.5</v>
      </c>
      <c r="AZ41" s="31">
        <f t="shared" si="11"/>
        <v>13664</v>
      </c>
      <c r="BA41" s="8">
        <f t="shared" si="11"/>
        <v>184</v>
      </c>
      <c r="BB41" s="8">
        <f t="shared" si="11"/>
        <v>205</v>
      </c>
      <c r="BC41" s="8">
        <f t="shared" si="11"/>
        <v>3</v>
      </c>
      <c r="BD41" s="46">
        <f t="shared" si="11"/>
        <v>60.5</v>
      </c>
      <c r="BE41" s="31">
        <f t="shared" si="11"/>
        <v>17775</v>
      </c>
      <c r="BF41" s="8">
        <f t="shared" si="11"/>
        <v>98</v>
      </c>
      <c r="BG41" s="8">
        <f t="shared" si="11"/>
        <v>126</v>
      </c>
      <c r="BH41" s="8">
        <f t="shared" si="11"/>
        <v>4</v>
      </c>
      <c r="BI41" s="46">
        <f t="shared" si="11"/>
        <v>97.67</v>
      </c>
      <c r="BJ41" s="31">
        <f t="shared" si="11"/>
        <v>10628</v>
      </c>
      <c r="BK41" s="8">
        <f t="shared" si="11"/>
        <v>33</v>
      </c>
      <c r="BL41" s="8">
        <f t="shared" si="11"/>
        <v>27</v>
      </c>
      <c r="BM41" s="8">
        <f t="shared" si="11"/>
        <v>0</v>
      </c>
      <c r="BN41" s="46">
        <f t="shared" si="11"/>
        <v>27</v>
      </c>
      <c r="BO41" s="31">
        <f t="shared" ref="BO41:CT41" si="12">SUM(BO3:BO40)</f>
        <v>2915</v>
      </c>
      <c r="BP41" s="8">
        <f t="shared" si="12"/>
        <v>16</v>
      </c>
      <c r="BQ41" s="8">
        <f t="shared" si="12"/>
        <v>27</v>
      </c>
      <c r="BR41" s="8">
        <f t="shared" si="12"/>
        <v>2</v>
      </c>
      <c r="BS41" s="46">
        <f t="shared" si="12"/>
        <v>18</v>
      </c>
      <c r="BT41" s="31">
        <f t="shared" si="12"/>
        <v>2077</v>
      </c>
      <c r="BU41" s="8">
        <f t="shared" si="12"/>
        <v>41</v>
      </c>
      <c r="BV41" s="8">
        <f t="shared" si="12"/>
        <v>45</v>
      </c>
      <c r="BW41" s="8">
        <f t="shared" si="12"/>
        <v>1</v>
      </c>
      <c r="BX41" s="46">
        <f t="shared" si="12"/>
        <v>0</v>
      </c>
      <c r="BY41" s="31">
        <f t="shared" si="12"/>
        <v>4137</v>
      </c>
      <c r="BZ41" s="8">
        <f t="shared" si="12"/>
        <v>147</v>
      </c>
      <c r="CA41" s="8">
        <f t="shared" si="12"/>
        <v>161</v>
      </c>
      <c r="CB41" s="8">
        <f t="shared" si="12"/>
        <v>3</v>
      </c>
      <c r="CC41" s="46">
        <f t="shared" si="12"/>
        <v>0</v>
      </c>
      <c r="CD41" s="31">
        <f t="shared" si="12"/>
        <v>13644</v>
      </c>
      <c r="CE41" s="8">
        <f t="shared" si="12"/>
        <v>106</v>
      </c>
      <c r="CF41" s="8">
        <f t="shared" si="12"/>
        <v>160</v>
      </c>
      <c r="CG41" s="8">
        <f t="shared" si="12"/>
        <v>3</v>
      </c>
      <c r="CH41" s="46">
        <f t="shared" si="12"/>
        <v>0</v>
      </c>
      <c r="CI41" s="31">
        <f t="shared" si="12"/>
        <v>10944</v>
      </c>
      <c r="CJ41" s="8">
        <f t="shared" si="12"/>
        <v>97</v>
      </c>
      <c r="CK41" s="8">
        <f t="shared" si="12"/>
        <v>93</v>
      </c>
      <c r="CL41" s="8">
        <f t="shared" si="12"/>
        <v>4</v>
      </c>
      <c r="CM41" s="46">
        <f t="shared" si="12"/>
        <v>0</v>
      </c>
      <c r="CN41" s="31">
        <f t="shared" si="12"/>
        <v>8931</v>
      </c>
      <c r="CO41" s="8">
        <f t="shared" si="12"/>
        <v>10</v>
      </c>
      <c r="CP41" s="8">
        <f t="shared" si="12"/>
        <v>19</v>
      </c>
      <c r="CQ41" s="8">
        <f t="shared" si="12"/>
        <v>0</v>
      </c>
      <c r="CR41" s="46">
        <f t="shared" si="12"/>
        <v>0</v>
      </c>
      <c r="CS41" s="31">
        <f t="shared" si="12"/>
        <v>990</v>
      </c>
      <c r="CT41" s="8">
        <f t="shared" si="12"/>
        <v>4</v>
      </c>
      <c r="CU41" s="8">
        <f t="shared" ref="CU41:CX41" si="13">SUM(CU3:CU40)</f>
        <v>10</v>
      </c>
      <c r="CV41" s="8">
        <f t="shared" si="13"/>
        <v>0</v>
      </c>
      <c r="CW41" s="46">
        <f t="shared" si="13"/>
        <v>0</v>
      </c>
      <c r="CX41" s="31">
        <f t="shared" si="13"/>
        <v>482</v>
      </c>
      <c r="CZ41" s="8">
        <f>SUM(CZ3:CZ40)</f>
        <v>414</v>
      </c>
    </row>
    <row r="42" spans="1:109" ht="13" thickTop="1" x14ac:dyDescent="0.25">
      <c r="G42" s="3"/>
      <c r="L42" s="3"/>
      <c r="Q42" s="3"/>
      <c r="V42" s="3"/>
      <c r="AA42" s="3"/>
      <c r="AF42" s="3"/>
      <c r="AK42" s="3"/>
      <c r="AP42" s="3"/>
      <c r="AU42" s="3"/>
      <c r="AZ42" s="3"/>
      <c r="BE42" s="3"/>
      <c r="BJ42" s="3"/>
      <c r="BO42" s="3"/>
      <c r="BT42" s="3"/>
      <c r="BY42" s="3"/>
      <c r="CD42" s="3"/>
      <c r="CI42" s="3"/>
      <c r="CN42" s="3"/>
      <c r="CS42" s="3"/>
      <c r="CX42" s="3"/>
      <c r="CY42" s="5"/>
      <c r="CZ42" s="5"/>
    </row>
    <row r="44" spans="1:109" x14ac:dyDescent="0.25">
      <c r="A44" t="s">
        <v>79</v>
      </c>
      <c r="D44" s="52">
        <f>+G41</f>
        <v>23942</v>
      </c>
      <c r="E44" s="52"/>
      <c r="F44" s="17"/>
      <c r="G44" s="14"/>
      <c r="H44" s="14"/>
      <c r="I44" s="52">
        <f>+L41</f>
        <v>27719</v>
      </c>
      <c r="J44" s="52"/>
      <c r="K44" s="17"/>
      <c r="L44" s="15"/>
      <c r="M44" s="16"/>
      <c r="N44" s="52">
        <f>+Q41</f>
        <v>27075</v>
      </c>
      <c r="O44" s="52"/>
      <c r="P44" s="18"/>
      <c r="Q44" s="16"/>
      <c r="R44" s="16"/>
      <c r="S44" s="52">
        <f>+V41</f>
        <v>24922</v>
      </c>
      <c r="T44" s="52"/>
      <c r="U44" s="18"/>
      <c r="V44" s="16"/>
      <c r="W44" s="16"/>
      <c r="X44" s="52">
        <f>+AA41</f>
        <v>25409</v>
      </c>
      <c r="Y44" s="52"/>
      <c r="Z44" s="18"/>
      <c r="AA44" s="16"/>
      <c r="AB44" s="16"/>
      <c r="AC44" s="52">
        <f>+AF41</f>
        <v>24502</v>
      </c>
      <c r="AD44" s="52"/>
      <c r="AE44" s="18"/>
      <c r="AF44" s="16"/>
      <c r="AG44" s="16"/>
      <c r="AH44" s="52">
        <f>+AK41</f>
        <v>16554</v>
      </c>
      <c r="AI44" s="52"/>
      <c r="AJ44" s="18"/>
      <c r="AK44" s="16"/>
      <c r="AL44" s="16"/>
      <c r="AM44" s="52">
        <f>+AP41</f>
        <v>15299</v>
      </c>
      <c r="AN44" s="52"/>
      <c r="AO44" s="18"/>
      <c r="AP44" s="16"/>
      <c r="AQ44" s="16"/>
      <c r="AR44" s="52">
        <f>+AU41</f>
        <v>16997</v>
      </c>
      <c r="AS44" s="52"/>
      <c r="AT44" s="18"/>
      <c r="AU44" s="16"/>
      <c r="AV44" s="16"/>
      <c r="AW44" s="52">
        <f>+AZ41</f>
        <v>13664</v>
      </c>
      <c r="AX44" s="52"/>
      <c r="AY44" s="18"/>
      <c r="AZ44" s="16"/>
      <c r="BA44" s="16"/>
      <c r="BB44" s="52">
        <f>+BE41</f>
        <v>17775</v>
      </c>
      <c r="BC44" s="52"/>
      <c r="BD44" s="18"/>
      <c r="BE44" s="16"/>
      <c r="BF44" s="16"/>
      <c r="BG44" s="52">
        <f>+BJ41</f>
        <v>10628</v>
      </c>
      <c r="BH44" s="52"/>
      <c r="BI44" s="18"/>
      <c r="BJ44" s="16"/>
      <c r="BK44" s="16"/>
      <c r="BL44" s="52">
        <f>+BO41</f>
        <v>2915</v>
      </c>
      <c r="BM44" s="52"/>
      <c r="BN44" s="18"/>
      <c r="BO44" s="16"/>
      <c r="BP44" s="16"/>
      <c r="BQ44" s="52">
        <f>+BT41</f>
        <v>2077</v>
      </c>
      <c r="BR44" s="52"/>
      <c r="BS44" s="18"/>
      <c r="BT44" s="16"/>
      <c r="BU44" s="16"/>
      <c r="BV44" s="52">
        <f>+BY41</f>
        <v>4137</v>
      </c>
      <c r="BW44" s="52"/>
      <c r="BX44" s="18"/>
      <c r="BY44" s="16"/>
      <c r="BZ44" s="16"/>
      <c r="CA44" s="52">
        <f>+CD41</f>
        <v>13644</v>
      </c>
      <c r="CB44" s="52"/>
      <c r="CC44" s="18"/>
      <c r="CD44" s="16"/>
      <c r="CE44" s="16"/>
      <c r="CF44" s="52">
        <f>+CI41</f>
        <v>10944</v>
      </c>
      <c r="CG44" s="52"/>
      <c r="CH44" s="18"/>
      <c r="CI44" s="16"/>
      <c r="CJ44" s="16"/>
      <c r="CK44" s="52">
        <f>+CN41</f>
        <v>8931</v>
      </c>
      <c r="CL44" s="52"/>
      <c r="CM44" s="18"/>
      <c r="CN44" s="16"/>
      <c r="CO44" s="16"/>
      <c r="CP44" s="52">
        <f>+CS41</f>
        <v>990</v>
      </c>
      <c r="CQ44" s="52"/>
      <c r="CR44" s="18"/>
      <c r="CS44" s="16"/>
      <c r="CT44" s="16"/>
      <c r="CU44" s="52">
        <f>+CX41</f>
        <v>482</v>
      </c>
      <c r="CV44" s="52"/>
      <c r="CW44" s="18"/>
      <c r="CX44" s="16"/>
    </row>
    <row r="45" spans="1:109" ht="13" thickBot="1" x14ac:dyDescent="0.3">
      <c r="A45" t="s">
        <v>81</v>
      </c>
      <c r="B45" s="38"/>
      <c r="C45" s="38"/>
      <c r="E45" s="39">
        <f>+COUNT(C3:C39)</f>
        <v>34</v>
      </c>
      <c r="F45" s="40"/>
      <c r="G45" s="41"/>
      <c r="H45" s="41"/>
      <c r="J45" s="39">
        <f>+COUNT(H3:H39)</f>
        <v>37</v>
      </c>
      <c r="K45" s="40"/>
      <c r="L45" s="42"/>
      <c r="M45" s="38"/>
      <c r="O45" s="39">
        <f>+COUNT(M3:M39)</f>
        <v>37</v>
      </c>
      <c r="P45" s="43"/>
      <c r="Q45" s="38"/>
      <c r="R45" s="38"/>
      <c r="T45" s="39">
        <f>+COUNT(R3:R39)</f>
        <v>36</v>
      </c>
      <c r="U45" s="43"/>
      <c r="V45" s="38"/>
      <c r="W45" s="38"/>
      <c r="Y45" s="39">
        <f>+COUNT(W3:W39)</f>
        <v>36</v>
      </c>
      <c r="Z45" s="43"/>
      <c r="AA45" s="38"/>
      <c r="AB45" s="38"/>
      <c r="AD45" s="39">
        <f>+COUNT(AB3:AB39)</f>
        <v>34</v>
      </c>
      <c r="AE45" s="43"/>
      <c r="AF45" s="38"/>
      <c r="AG45" s="38"/>
      <c r="AI45" s="39">
        <f>+COUNT(AG3:AG39)</f>
        <v>24</v>
      </c>
      <c r="AJ45" s="43"/>
      <c r="AK45" s="38"/>
      <c r="AL45" s="38"/>
      <c r="AN45" s="39">
        <f>+COUNT(AL3:AL39)</f>
        <v>23</v>
      </c>
      <c r="AO45" s="43"/>
      <c r="AP45" s="38"/>
      <c r="AQ45" s="38"/>
      <c r="AS45" s="39">
        <f>+COUNT(AQ3:AQ39)</f>
        <v>23</v>
      </c>
      <c r="AT45" s="43"/>
      <c r="AU45" s="38"/>
      <c r="AV45" s="38"/>
      <c r="AX45" s="39">
        <f>+COUNT(AV3:AV39)</f>
        <v>19</v>
      </c>
      <c r="AY45" s="43"/>
      <c r="AZ45" s="38"/>
      <c r="BA45" s="38"/>
      <c r="BC45" s="39">
        <f>+COUNT(BA3:BA39)</f>
        <v>27</v>
      </c>
      <c r="BD45" s="43"/>
      <c r="BE45" s="38"/>
      <c r="BF45" s="38"/>
      <c r="BH45" s="39">
        <f>+COUNT(BF3:BF39)</f>
        <v>16</v>
      </c>
      <c r="BI45" s="43"/>
      <c r="BJ45" s="38"/>
      <c r="BK45" s="38"/>
      <c r="BM45" s="39">
        <f>+COUNT(BK3:BK39)</f>
        <v>4</v>
      </c>
      <c r="BN45" s="43"/>
      <c r="BO45" s="38"/>
      <c r="BP45" s="38"/>
      <c r="BR45" s="39">
        <f>+COUNT(BP3:BP39)</f>
        <v>3</v>
      </c>
      <c r="BS45" s="43"/>
      <c r="BT45" s="38"/>
      <c r="BU45" s="38"/>
      <c r="BW45" s="39">
        <f>+COUNT(BU3:BU39)</f>
        <v>6</v>
      </c>
      <c r="BX45" s="43"/>
      <c r="BY45" s="38"/>
      <c r="BZ45" s="38"/>
      <c r="CB45" s="39">
        <f>+COUNT(BZ3:BZ39)</f>
        <v>21</v>
      </c>
      <c r="CC45" s="43"/>
      <c r="CD45" s="38"/>
      <c r="CE45" s="38"/>
      <c r="CG45" s="39">
        <f>+COUNT(CE3:CE39)</f>
        <v>18</v>
      </c>
      <c r="CH45" s="43"/>
      <c r="CI45" s="38"/>
      <c r="CJ45" s="38"/>
      <c r="CL45" s="39">
        <f>+COUNT(CJ3:CJ39)</f>
        <v>13</v>
      </c>
      <c r="CM45" s="43"/>
      <c r="CN45" s="38"/>
      <c r="CO45" s="38"/>
      <c r="CQ45" s="39">
        <f>+COUNT(CO3:CO39)</f>
        <v>2</v>
      </c>
      <c r="CR45" s="43"/>
      <c r="CS45" s="38"/>
      <c r="CT45" s="38"/>
      <c r="CV45" s="39">
        <f>+COUNT(CT3:CT39)</f>
        <v>1</v>
      </c>
      <c r="CW45" s="18"/>
      <c r="CZ45" s="20">
        <f>SUM(C45:CY45)</f>
        <v>414</v>
      </c>
    </row>
    <row r="46" spans="1:109" ht="13.5" thickTop="1" thickBot="1" x14ac:dyDescent="0.3">
      <c r="A46" t="s">
        <v>80</v>
      </c>
      <c r="D46" s="54">
        <f>+D44/E45</f>
        <v>704.17647058823525</v>
      </c>
      <c r="E46" s="54"/>
      <c r="F46" s="17"/>
      <c r="G46" s="14"/>
      <c r="H46" s="14"/>
      <c r="I46" s="55">
        <f>+I44/J45</f>
        <v>749.16216216216219</v>
      </c>
      <c r="J46" s="55"/>
      <c r="K46" s="17"/>
      <c r="L46" s="15"/>
      <c r="M46" s="16"/>
      <c r="N46" s="51">
        <f>+N44/O45</f>
        <v>731.75675675675677</v>
      </c>
      <c r="O46" s="51"/>
      <c r="P46" s="17"/>
      <c r="Q46" s="16"/>
      <c r="R46" s="16"/>
      <c r="S46" s="51">
        <f>+S44/T45</f>
        <v>692.27777777777783</v>
      </c>
      <c r="T46" s="51"/>
      <c r="U46" s="17"/>
      <c r="V46" s="16"/>
      <c r="W46" s="16"/>
      <c r="X46" s="51">
        <f>+X44/Y45</f>
        <v>705.80555555555554</v>
      </c>
      <c r="Y46" s="51"/>
      <c r="Z46" s="17"/>
      <c r="AA46" s="16"/>
      <c r="AB46" s="16"/>
      <c r="AC46" s="51">
        <f>+AC44/AD45</f>
        <v>720.64705882352939</v>
      </c>
      <c r="AD46" s="51"/>
      <c r="AE46" s="17"/>
      <c r="AF46" s="16"/>
      <c r="AG46" s="16"/>
      <c r="AH46" s="51">
        <f>+AH44/AI45</f>
        <v>689.75</v>
      </c>
      <c r="AI46" s="51"/>
      <c r="AJ46" s="17"/>
      <c r="AK46" s="16"/>
      <c r="AL46" s="16"/>
      <c r="AM46" s="51">
        <f>+AM44/AN45</f>
        <v>665.17391304347825</v>
      </c>
      <c r="AN46" s="51"/>
      <c r="AO46" s="17"/>
      <c r="AP46" s="16"/>
      <c r="AQ46" s="16"/>
      <c r="AR46" s="51">
        <f>+AR44/AS45</f>
        <v>739</v>
      </c>
      <c r="AS46" s="51"/>
      <c r="AT46" s="17"/>
      <c r="AU46" s="16"/>
      <c r="AV46" s="16"/>
      <c r="AW46" s="51">
        <f>+AW44/AX45</f>
        <v>719.15789473684208</v>
      </c>
      <c r="AX46" s="51"/>
      <c r="AY46" s="17"/>
      <c r="AZ46" s="16"/>
      <c r="BA46" s="16"/>
      <c r="BB46" s="51">
        <f>+BB44/BC45</f>
        <v>658.33333333333337</v>
      </c>
      <c r="BC46" s="51"/>
      <c r="BD46" s="17"/>
      <c r="BE46" s="16"/>
      <c r="BF46" s="16"/>
      <c r="BG46" s="51">
        <f>+BG44/BH45</f>
        <v>664.25</v>
      </c>
      <c r="BH46" s="51"/>
      <c r="BI46" s="17"/>
      <c r="BJ46" s="16"/>
      <c r="BK46" s="16"/>
      <c r="BL46" s="51">
        <f>+BL44/BM45</f>
        <v>728.75</v>
      </c>
      <c r="BM46" s="51"/>
      <c r="BN46" s="17"/>
      <c r="BO46" s="16"/>
      <c r="BP46" s="16"/>
      <c r="BQ46" s="51">
        <f>+BQ44/BR45</f>
        <v>692.33333333333337</v>
      </c>
      <c r="BR46" s="51"/>
      <c r="BS46" s="17"/>
      <c r="BT46" s="16"/>
      <c r="BU46" s="16"/>
      <c r="BV46" s="51">
        <f>+BV44/BW45</f>
        <v>689.5</v>
      </c>
      <c r="BW46" s="51"/>
      <c r="BX46" s="17"/>
      <c r="BY46" s="16"/>
      <c r="BZ46" s="16"/>
      <c r="CA46" s="51">
        <f>+CA44/CB45</f>
        <v>649.71428571428567</v>
      </c>
      <c r="CB46" s="51"/>
      <c r="CC46" s="17"/>
      <c r="CD46" s="16"/>
      <c r="CE46" s="16"/>
      <c r="CF46" s="51">
        <f>+CF44/CG45</f>
        <v>608</v>
      </c>
      <c r="CG46" s="51"/>
      <c r="CH46" s="17"/>
      <c r="CI46" s="16"/>
      <c r="CJ46" s="16"/>
      <c r="CK46" s="51">
        <f>+CK44/CL45</f>
        <v>687</v>
      </c>
      <c r="CL46" s="51"/>
      <c r="CM46" s="17"/>
      <c r="CN46" s="16"/>
      <c r="CO46" s="16"/>
      <c r="CP46" s="51">
        <f>+CP44/CQ45</f>
        <v>495</v>
      </c>
      <c r="CQ46" s="51"/>
      <c r="CR46" s="17"/>
      <c r="CS46" s="16"/>
      <c r="CT46" s="16"/>
      <c r="CU46" s="51">
        <f>+CU44/CV45</f>
        <v>482</v>
      </c>
      <c r="CV46" s="51"/>
      <c r="CW46" s="17"/>
    </row>
    <row r="47" spans="1:109" ht="13" thickTop="1" x14ac:dyDescent="0.25"/>
    <row r="48" spans="1:109" ht="13" thickBot="1" x14ac:dyDescent="0.3">
      <c r="A48" t="s">
        <v>82</v>
      </c>
      <c r="D48" s="50">
        <f>(+C41+0.5*E41)/(C41+D41+E41)</f>
        <v>0.4959514170040486</v>
      </c>
      <c r="E48" s="50"/>
      <c r="F48" s="19"/>
      <c r="G48" s="13"/>
      <c r="H48" s="13"/>
      <c r="I48" s="53">
        <f>(+H41+0.5*J41)/(H41+I41+J41)</f>
        <v>0.57792207792207795</v>
      </c>
      <c r="J48" s="53"/>
      <c r="K48" s="19"/>
      <c r="N48" s="50">
        <f>(+M41+0.5*O41)/(M41+N41+O41)</f>
        <v>0.56771799628942488</v>
      </c>
      <c r="O48" s="50"/>
      <c r="P48" s="19"/>
      <c r="S48" s="50">
        <f>(+R41+0.5*T41)/(R41+S41+T41)</f>
        <v>0.47904761904761906</v>
      </c>
      <c r="T48" s="50"/>
      <c r="U48" s="19"/>
      <c r="X48" s="50">
        <f>(+W41+0.5*Y41)/(W41+X41+Y41)</f>
        <v>0.51529636711281068</v>
      </c>
      <c r="Y48" s="50"/>
      <c r="Z48" s="19"/>
      <c r="AC48" s="50">
        <f>(+AB41+0.5*AD41)/(AB41+AC41+AD41)</f>
        <v>0.52116935483870963</v>
      </c>
      <c r="AD48" s="50"/>
      <c r="AE48" s="19"/>
      <c r="AH48" s="50">
        <f>(+AG41+0.5*AI41)/(AG41+AH41+AI41)</f>
        <v>0.49420289855072463</v>
      </c>
      <c r="AI48" s="50"/>
      <c r="AJ48" s="19"/>
      <c r="AM48" s="50">
        <f>(+AL41+0.5*AN41)/(AL41+AM41+AN41)</f>
        <v>0.40151515151515149</v>
      </c>
      <c r="AN48" s="50"/>
      <c r="AO48" s="19"/>
      <c r="AR48" s="50">
        <f>(+AQ41+0.5*AS41)/(AQ41+AR41+AS41)</f>
        <v>0.52878787878787881</v>
      </c>
      <c r="AS48" s="50"/>
      <c r="AT48" s="19"/>
      <c r="AW48" s="50">
        <f>(+AV41+0.5*AX41)/(AV41+AW41+AX41)</f>
        <v>0.53888888888888886</v>
      </c>
      <c r="AX48" s="50"/>
      <c r="AY48" s="19"/>
      <c r="BB48" s="50">
        <f>(+BA41+0.5*BC41)/(BA41+BB41+BC41)</f>
        <v>0.4732142857142857</v>
      </c>
      <c r="BC48" s="50"/>
      <c r="BD48" s="19"/>
      <c r="BG48" s="50">
        <f>(+BF41+0.5*BH41)/(BF41+BG41+BH41)</f>
        <v>0.43859649122807015</v>
      </c>
      <c r="BH48" s="50"/>
      <c r="BI48" s="19"/>
      <c r="BL48" s="50">
        <f>(+BK41+0.5*BM41)/(BK41+BL41+BM41)</f>
        <v>0.55000000000000004</v>
      </c>
      <c r="BM48" s="50"/>
      <c r="BN48" s="19"/>
      <c r="BQ48" s="50">
        <f>(+BP41+0.5*BR41)/(BP41+BQ41+BR41)</f>
        <v>0.37777777777777777</v>
      </c>
      <c r="BR48" s="50"/>
      <c r="BS48" s="19"/>
      <c r="BV48" s="50">
        <f>(+BU41+0.5*BW41)/(BU41+BV41+BW41)</f>
        <v>0.47701149425287354</v>
      </c>
      <c r="BW48" s="50"/>
      <c r="BX48" s="19"/>
      <c r="CA48" s="50">
        <f>(+BZ41+0.5*CB41)/(BZ41+CA41+CB41)</f>
        <v>0.477491961414791</v>
      </c>
      <c r="CB48" s="50"/>
      <c r="CC48" s="19"/>
      <c r="CD48" s="13"/>
      <c r="CE48" s="13"/>
      <c r="CF48" s="50">
        <f>(+CE41+0.5*CG41)/(CE41+CF41+CG41)</f>
        <v>0.3996282527881041</v>
      </c>
      <c r="CG48" s="50"/>
      <c r="CH48" s="19"/>
      <c r="CK48" s="50">
        <f>(+CJ41+0.5*CL41)/(CJ41+CK41+CL41)</f>
        <v>0.51030927835051543</v>
      </c>
      <c r="CL48" s="50"/>
      <c r="CM48" s="5"/>
      <c r="CP48" s="56">
        <f>(+CO41+0.5*CQ41)/(CO41+CP41+CQ41)</f>
        <v>0.34482758620689657</v>
      </c>
      <c r="CQ48" s="56"/>
      <c r="CR48" s="5"/>
      <c r="CU48" s="56">
        <f>(+CT41+0.5*CV41)/(CT41+CU41+CV41)</f>
        <v>0.2857142857142857</v>
      </c>
      <c r="CV48" s="56"/>
      <c r="CW48" s="5"/>
    </row>
    <row r="49" spans="1:7" ht="13" thickTop="1" x14ac:dyDescent="0.25"/>
    <row r="55" spans="1:7" x14ac:dyDescent="0.25">
      <c r="A55" s="22" t="s">
        <v>136</v>
      </c>
      <c r="B55" s="21"/>
      <c r="C55" s="21" t="s">
        <v>38</v>
      </c>
      <c r="D55" s="21" t="s">
        <v>151</v>
      </c>
      <c r="E55" s="21" t="s">
        <v>40</v>
      </c>
      <c r="F55" s="21" t="s">
        <v>152</v>
      </c>
      <c r="G55" s="21" t="s">
        <v>41</v>
      </c>
    </row>
    <row r="56" spans="1:7" x14ac:dyDescent="0.25">
      <c r="A56" s="22">
        <v>2020</v>
      </c>
      <c r="B56" s="21"/>
      <c r="C56">
        <f>+C35+H35+M35+R35+W35+AB35+AG35+AL35+AQ35+AV35+BA35+BF35</f>
        <v>84</v>
      </c>
      <c r="D56">
        <f>+D35+I35+N35+S35+X35+AC35+AH35+AM35+AR35+AW35+BB35+BG35</f>
        <v>84</v>
      </c>
      <c r="E56">
        <f>+E35+J35+O35+T35+Y35+AD35+AI35+AN35+AS35+AX35+BC35+BH35</f>
        <v>0</v>
      </c>
      <c r="F56">
        <f>+F35+K35+P35+U35+Z35+AE35+AJ35+AO35+AT35+AY35+BD35+BI35</f>
        <v>84</v>
      </c>
      <c r="G56" s="44">
        <f>+G35+L35+Q35+V35+AA35+AF35+AK35+AP35+AU35+AZ35+BE35+BJ35</f>
        <v>8948</v>
      </c>
    </row>
    <row r="57" spans="1:7" x14ac:dyDescent="0.25">
      <c r="A57">
        <v>2021</v>
      </c>
      <c r="C57">
        <f>+C36+H36+M36+R36+W36+AB36+AG36+AL36+AQ36+AV36+BF36+BK36</f>
        <v>87</v>
      </c>
      <c r="D57">
        <f>+D36+I36+N36+S36+X36+AC36+AH36+AM36+AR36+AW36+BG36+BL36</f>
        <v>87</v>
      </c>
      <c r="E57">
        <f>+E36+J36+O36+T36+Y36+AD36+AI36+AN36+AS36+AX36+BH36+BM36</f>
        <v>6</v>
      </c>
      <c r="F57">
        <f>+F36+K36+P36+U36+Z36+AE36+AJ36+AO36+AT36+AY36+BI36+BN36</f>
        <v>90</v>
      </c>
      <c r="G57" s="44">
        <f>+G36+L36+Q36+V36+AA36+AF36+AK36+AP36+AU36+AZ36+BJ36+BO36</f>
        <v>8971</v>
      </c>
    </row>
    <row r="58" spans="1:7" x14ac:dyDescent="0.25">
      <c r="A58">
        <v>2022</v>
      </c>
      <c r="C58">
        <f t="shared" ref="C58:G60" si="14">+H37+M37+R37+W37+AB37+AG37+AL37+AQ37+AV37+BA37+BF37+BK37+BP37</f>
        <v>86</v>
      </c>
      <c r="D58">
        <f t="shared" si="14"/>
        <v>86</v>
      </c>
      <c r="E58">
        <f t="shared" si="14"/>
        <v>8</v>
      </c>
      <c r="F58" s="47">
        <f t="shared" si="14"/>
        <v>90</v>
      </c>
      <c r="G58" s="44">
        <f t="shared" si="14"/>
        <v>8432</v>
      </c>
    </row>
    <row r="59" spans="1:7" x14ac:dyDescent="0.25">
      <c r="A59">
        <v>2023</v>
      </c>
      <c r="C59">
        <f t="shared" si="14"/>
        <v>87</v>
      </c>
      <c r="D59">
        <f t="shared" si="14"/>
        <v>87</v>
      </c>
      <c r="E59">
        <f t="shared" si="14"/>
        <v>6</v>
      </c>
      <c r="F59" s="47">
        <f t="shared" si="14"/>
        <v>90</v>
      </c>
      <c r="G59" s="44">
        <f t="shared" si="14"/>
        <v>8590</v>
      </c>
    </row>
    <row r="60" spans="1:7" x14ac:dyDescent="0.25">
      <c r="A60">
        <v>2024</v>
      </c>
      <c r="C60">
        <f t="shared" ref="C60" si="15">+H39+M39+R39+W39+AB39+AG39+AL39+AQ39+AV39+BA39+BF39+BK39+BP39</f>
        <v>89</v>
      </c>
      <c r="D60">
        <f t="shared" ref="D60" si="16">+I39+N39+S39+X39+AC39+AH39+AM39+AR39+AW39+BB39+BG39+BL39+BQ39</f>
        <v>89</v>
      </c>
      <c r="E60">
        <f t="shared" ref="E60" si="17">+J39+O39+T39+Y39+AD39+AI39+AN39+AS39+AX39+BC39+BH39+BM39+BR39</f>
        <v>2</v>
      </c>
      <c r="F60" s="47">
        <f t="shared" ref="F60" si="18">+K39+P39+U39+Z39+AE39+AJ39+AO39+AT39+AY39+BD39+BI39+BN39+BS39</f>
        <v>90</v>
      </c>
      <c r="G60" s="44">
        <f t="shared" ref="G60" si="19">+L39+Q39+V39+AA39+AF39+AK39+AP39+AU39+AZ39+BE39+BJ39+BO39+BT39</f>
        <v>9027</v>
      </c>
    </row>
  </sheetData>
  <mergeCells count="80">
    <mergeCell ref="BU1:BX1"/>
    <mergeCell ref="CT1:CW1"/>
    <mergeCell ref="CE1:CH1"/>
    <mergeCell ref="CJ1:CM1"/>
    <mergeCell ref="CO1:CR1"/>
    <mergeCell ref="BZ1:CC1"/>
    <mergeCell ref="BK1:BN1"/>
    <mergeCell ref="BA1:BD1"/>
    <mergeCell ref="BF1:BI1"/>
    <mergeCell ref="AV1:AY1"/>
    <mergeCell ref="BP1:BS1"/>
    <mergeCell ref="C1:F1"/>
    <mergeCell ref="H1:K1"/>
    <mergeCell ref="M1:P1"/>
    <mergeCell ref="R1:U1"/>
    <mergeCell ref="W1:Z1"/>
    <mergeCell ref="AB1:AE1"/>
    <mergeCell ref="BV48:BW48"/>
    <mergeCell ref="BV46:BW46"/>
    <mergeCell ref="BV44:BW44"/>
    <mergeCell ref="BQ48:BR48"/>
    <mergeCell ref="BQ46:BR46"/>
    <mergeCell ref="BQ44:BR44"/>
    <mergeCell ref="AR48:AS48"/>
    <mergeCell ref="AR46:AS46"/>
    <mergeCell ref="AR44:AS44"/>
    <mergeCell ref="AM48:AN48"/>
    <mergeCell ref="AM46:AN46"/>
    <mergeCell ref="BG48:BH48"/>
    <mergeCell ref="AG1:AJ1"/>
    <mergeCell ref="AL1:AO1"/>
    <mergeCell ref="AQ1:AT1"/>
    <mergeCell ref="CF48:CG48"/>
    <mergeCell ref="CF46:CG46"/>
    <mergeCell ref="CF44:CG44"/>
    <mergeCell ref="CA48:CB48"/>
    <mergeCell ref="CA46:CB46"/>
    <mergeCell ref="CA44:CB44"/>
    <mergeCell ref="CP48:CQ48"/>
    <mergeCell ref="CP46:CQ46"/>
    <mergeCell ref="CP44:CQ44"/>
    <mergeCell ref="CK48:CL48"/>
    <mergeCell ref="CK46:CL46"/>
    <mergeCell ref="CK44:CL44"/>
    <mergeCell ref="S44:T44"/>
    <mergeCell ref="AM44:AN44"/>
    <mergeCell ref="AC44:AD44"/>
    <mergeCell ref="X44:Y44"/>
    <mergeCell ref="CU48:CV48"/>
    <mergeCell ref="CU46:CV46"/>
    <mergeCell ref="CU44:CV44"/>
    <mergeCell ref="AW44:AX44"/>
    <mergeCell ref="BB48:BC48"/>
    <mergeCell ref="BB46:BC46"/>
    <mergeCell ref="BB44:BC44"/>
    <mergeCell ref="AW48:AX48"/>
    <mergeCell ref="AW46:AX46"/>
    <mergeCell ref="BL48:BM48"/>
    <mergeCell ref="BL46:BM46"/>
    <mergeCell ref="BL44:BM44"/>
    <mergeCell ref="AH48:AI48"/>
    <mergeCell ref="AH46:AI46"/>
    <mergeCell ref="AH44:AI44"/>
    <mergeCell ref="BG46:BH46"/>
    <mergeCell ref="BG44:BH44"/>
    <mergeCell ref="N44:O44"/>
    <mergeCell ref="N48:O48"/>
    <mergeCell ref="N46:O46"/>
    <mergeCell ref="I48:J48"/>
    <mergeCell ref="D44:E44"/>
    <mergeCell ref="D46:E46"/>
    <mergeCell ref="D48:E48"/>
    <mergeCell ref="I44:J44"/>
    <mergeCell ref="I46:J46"/>
    <mergeCell ref="AC48:AD48"/>
    <mergeCell ref="AC46:AD46"/>
    <mergeCell ref="S48:T48"/>
    <mergeCell ref="X48:Y48"/>
    <mergeCell ref="X46:Y46"/>
    <mergeCell ref="S46:T46"/>
  </mergeCells>
  <phoneticPr fontId="4" type="noConversion"/>
  <pageMargins left="0.75" right="0.75" top="1" bottom="1" header="0.5" footer="0.5"/>
  <pageSetup scale="4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Playoffs</vt:lpstr>
      <vt:lpstr>W-L Records</vt:lpstr>
      <vt:lpstr>Playoffs!Print_Area</vt:lpstr>
      <vt:lpstr>'W-L Records'!Print_Area</vt:lpstr>
    </vt:vector>
  </TitlesOfParts>
  <Company>Zhone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Zhone User</dc:creator>
  <cp:lastModifiedBy>Kirk Misaka</cp:lastModifiedBy>
  <cp:lastPrinted>2019-12-27T05:17:40Z</cp:lastPrinted>
  <dcterms:created xsi:type="dcterms:W3CDTF">2007-03-09T18:23:34Z</dcterms:created>
  <dcterms:modified xsi:type="dcterms:W3CDTF">2025-01-01T04:57:08Z</dcterms:modified>
</cp:coreProperties>
</file>