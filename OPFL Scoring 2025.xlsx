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s" sheetId="1" r:id="rId4"/>
    <sheet state="visible" name="Matchups" sheetId="2" r:id="rId5"/>
    <sheet state="visible" name="Scoring" sheetId="3" r:id="rId6"/>
    <sheet state="visible" name="Standings" sheetId="4" r:id="rId7"/>
    <sheet state="visible" name="W1" sheetId="5" r:id="rId8"/>
    <sheet state="visible" name="W2" sheetId="6" r:id="rId9"/>
    <sheet state="visible" name="W3" sheetId="7" r:id="rId10"/>
    <sheet state="visible" name="W4" sheetId="8" r:id="rId11"/>
    <sheet state="visible" name="W5" sheetId="9" r:id="rId12"/>
    <sheet state="visible" name="W6" sheetId="10" r:id="rId13"/>
    <sheet state="visible" name="W7" sheetId="11" r:id="rId14"/>
    <sheet state="visible" name="W8" sheetId="12" r:id="rId15"/>
    <sheet state="visible" name="W9" sheetId="13" r:id="rId16"/>
    <sheet state="visible" name="W10" sheetId="14" r:id="rId17"/>
    <sheet state="visible" name="W11" sheetId="15" r:id="rId18"/>
    <sheet state="visible" name="W12" sheetId="16" r:id="rId19"/>
  </sheets>
  <definedNames/>
  <calcPr/>
</workbook>
</file>

<file path=xl/sharedStrings.xml><?xml version="1.0" encoding="utf-8"?>
<sst xmlns="http://schemas.openxmlformats.org/spreadsheetml/2006/main" count="8532" uniqueCount="383">
  <si>
    <t>KIRK/DAVID (11)</t>
  </si>
  <si>
    <t>STEVE L. (43)</t>
  </si>
  <si>
    <t>JOHN (9)</t>
  </si>
  <si>
    <t>KEVIN (2)</t>
  </si>
  <si>
    <t>DANNY/JOEY (10)</t>
  </si>
  <si>
    <t>GREG/GRIFFIN (7)</t>
  </si>
  <si>
    <t>QB</t>
  </si>
  <si>
    <t>Caleb Williams (Chi)</t>
  </si>
  <si>
    <t>Jayden Daniels (Was)</t>
  </si>
  <si>
    <t>*</t>
  </si>
  <si>
    <t>Bo Nix (Den)</t>
  </si>
  <si>
    <t>Jalen Hurts (Phi)</t>
  </si>
  <si>
    <t>Josh Allen (Buf)</t>
  </si>
  <si>
    <t>Baker Mayfield (TB)</t>
  </si>
  <si>
    <t>Jordan Love (GB)</t>
  </si>
  <si>
    <t>Tua Tagovailoa (Mia)</t>
  </si>
  <si>
    <t>Kyler Murray (Arz)</t>
  </si>
  <si>
    <t>Matthew Stafford (LAR)</t>
  </si>
  <si>
    <t>Jaxson Dart (NYG)</t>
  </si>
  <si>
    <t>Tyler Shough (NO)</t>
  </si>
  <si>
    <t>Brock Purdy (SF)</t>
  </si>
  <si>
    <t>Joe Flacco (Cin)</t>
  </si>
  <si>
    <t>Dak Prescott (Dal)</t>
  </si>
  <si>
    <t>Dillon Gabriel (Cle)</t>
  </si>
  <si>
    <t>Mac Jones (SF)</t>
  </si>
  <si>
    <t>Shedeur Sanders (Cle)</t>
  </si>
  <si>
    <t>RB</t>
  </si>
  <si>
    <t>Josh Jacobs (GB)</t>
  </si>
  <si>
    <t>Jahmyr Gibbs (Det)</t>
  </si>
  <si>
    <t>Kyren Williams (LAR)</t>
  </si>
  <si>
    <t>De'Von Achane (Mia)</t>
  </si>
  <si>
    <t>Omarion Hampton (LAC)</t>
  </si>
  <si>
    <t>Chuba Hubbard (Car)</t>
  </si>
  <si>
    <t>Travis Etienne (Jax)</t>
  </si>
  <si>
    <t>D'Andre Swift (Chi)</t>
  </si>
  <si>
    <t>Nick Chubb (Hou)</t>
  </si>
  <si>
    <t>Tyrone Tracy (NYG)</t>
  </si>
  <si>
    <t>JK Dobbins (Den)</t>
  </si>
  <si>
    <t>Trey Benson (Arz)</t>
  </si>
  <si>
    <t>Jordan Mason (Min)</t>
  </si>
  <si>
    <t>Isiah Pacheco (KC)</t>
  </si>
  <si>
    <t>Blake Corum (LAR)</t>
  </si>
  <si>
    <t>Rachaad White (TB)</t>
  </si>
  <si>
    <t>Zach Charbonnet (Sea)</t>
  </si>
  <si>
    <t>Quinshon Judkins (CLE)</t>
  </si>
  <si>
    <t>RJ Harvey (Den)</t>
  </si>
  <si>
    <t>Kaleb Johnson (Pit)</t>
  </si>
  <si>
    <t>Joe Mixon (Hou)</t>
  </si>
  <si>
    <t>Woody Marks (Hou)</t>
  </si>
  <si>
    <t>Tyjae Spears (Ten)</t>
  </si>
  <si>
    <t>Jaylen Warren (Pit)</t>
  </si>
  <si>
    <t>WR</t>
  </si>
  <si>
    <t>Justin Jefferson (Min)</t>
  </si>
  <si>
    <t>DK Metcalf (Pit)</t>
  </si>
  <si>
    <t>Ja'Marr Chase (Cin)</t>
  </si>
  <si>
    <t>Zay Flowers (Bal)</t>
  </si>
  <si>
    <t>Amon-Ra St. Brown (Det)</t>
  </si>
  <si>
    <t>Jaxon Smith-Njigba (Sea)</t>
  </si>
  <si>
    <t>Puka Nacua (LAR)</t>
  </si>
  <si>
    <t>Jameson Williams (Det)</t>
  </si>
  <si>
    <t>Tee Higgins (Cin)</t>
  </si>
  <si>
    <t>Jordan Addison (Min)</t>
  </si>
  <si>
    <t>Marvin Harrison (Arz)</t>
  </si>
  <si>
    <t>Rashee Rice (KC)</t>
  </si>
  <si>
    <t>Davante Adams (LAR)</t>
  </si>
  <si>
    <t>Christian Watson (GB)</t>
  </si>
  <si>
    <t>Courtland Sutton (Den)</t>
  </si>
  <si>
    <t>Deebo Samuel (Was)</t>
  </si>
  <si>
    <t>Luther Burden (Chi)</t>
  </si>
  <si>
    <t>DJ Moore (Chi)</t>
  </si>
  <si>
    <t>Romeo Doubs (GB)</t>
  </si>
  <si>
    <t>Tet McMillan (Car)</t>
  </si>
  <si>
    <t>Michael Pittman (Ind)</t>
  </si>
  <si>
    <t>Emeka Egbuka (TB)</t>
  </si>
  <si>
    <t>Quentin Johnston (LAC)</t>
  </si>
  <si>
    <t>Keon Coleman (Buf)</t>
  </si>
  <si>
    <t>TE</t>
  </si>
  <si>
    <t>Dalton Schultz (Hou)</t>
  </si>
  <si>
    <t>Sam LaPorta (Det)</t>
  </si>
  <si>
    <t>Tucker Kraft (GB)</t>
  </si>
  <si>
    <t>Travis Kelce (KC)</t>
  </si>
  <si>
    <t>TJ Hockenson (Min)</t>
  </si>
  <si>
    <t>Jake Ferguson (Dal)</t>
  </si>
  <si>
    <t>Jake Tonges (SF)</t>
  </si>
  <si>
    <t>Gunnar Helm (Ten)</t>
  </si>
  <si>
    <t>Dallas Goedert (Phi)</t>
  </si>
  <si>
    <t>Jonnu Smith (Pit)</t>
  </si>
  <si>
    <t>Juwan Johnson (NO)</t>
  </si>
  <si>
    <t>Cade Otton (TB)</t>
  </si>
  <si>
    <t>Darren Waller (Mia)</t>
  </si>
  <si>
    <t>Evan Engram (Den)</t>
  </si>
  <si>
    <t>Tyler Warren (Ind)</t>
  </si>
  <si>
    <t>Theo Johnson (NYG)</t>
  </si>
  <si>
    <t>Brenton Strange (Jax)</t>
  </si>
  <si>
    <t>Mason Taylor (NYJ)</t>
  </si>
  <si>
    <t xml:space="preserve"> </t>
  </si>
  <si>
    <t>K</t>
  </si>
  <si>
    <t>Jake Elliott (Phi)</t>
  </si>
  <si>
    <t>Brandon Aubrey (Dal)</t>
  </si>
  <si>
    <t>Cameron Dicker (LAC)</t>
  </si>
  <si>
    <t>Chris Boswell (Pit)</t>
  </si>
  <si>
    <t>Tyler Loop (Bal)</t>
  </si>
  <si>
    <t>Brandon McManus (GB)</t>
  </si>
  <si>
    <t>Will Reichard (Min)</t>
  </si>
  <si>
    <t>Chase McLaughlin (TB)</t>
  </si>
  <si>
    <t>Matt Gay (Was)</t>
  </si>
  <si>
    <t>Will Lutz (Den)</t>
  </si>
  <si>
    <t>Eddy Pineiro (SF)</t>
  </si>
  <si>
    <t>Jason Myers (Sea)</t>
  </si>
  <si>
    <t>DF</t>
  </si>
  <si>
    <t>Baltimore</t>
  </si>
  <si>
    <t>Houston</t>
  </si>
  <si>
    <t>San Francisco</t>
  </si>
  <si>
    <t>LA Rams</t>
  </si>
  <si>
    <t>Kansas City</t>
  </si>
  <si>
    <t>Tampa Bay</t>
  </si>
  <si>
    <t>Denver</t>
  </si>
  <si>
    <t>Arizona</t>
  </si>
  <si>
    <t>Chicago</t>
  </si>
  <si>
    <t>Jacksonville</t>
  </si>
  <si>
    <t>New England</t>
  </si>
  <si>
    <t>Seattle</t>
  </si>
  <si>
    <t>HC</t>
  </si>
  <si>
    <t>Sean McVay (LAR)</t>
  </si>
  <si>
    <t>Dan Campbell (Det)</t>
  </si>
  <si>
    <t>John Harbaugh (Bal)</t>
  </si>
  <si>
    <t>Kyle Shanahan (SF)</t>
  </si>
  <si>
    <t>Sean Payton (Den)</t>
  </si>
  <si>
    <t>Mike Tomlin (Pit)</t>
  </si>
  <si>
    <t>Ben Johnson (Chi)</t>
  </si>
  <si>
    <t>DeMeco Ryans (Hou)</t>
  </si>
  <si>
    <t>Shane Steichen (Ind)</t>
  </si>
  <si>
    <t>Kevin Stefanski (Cle)</t>
  </si>
  <si>
    <t>Mike Vrabel (NE)</t>
  </si>
  <si>
    <t>Todd Bowles (TB)</t>
  </si>
  <si>
    <t>PH</t>
  </si>
  <si>
    <t>407-5858 cell</t>
  </si>
  <si>
    <t>435-4605 cell</t>
  </si>
  <si>
    <t>388-7371 cell</t>
  </si>
  <si>
    <t>913-3136 cell</t>
  </si>
  <si>
    <t>289-8690 (D)</t>
  </si>
  <si>
    <t>(925) 518-5773 cell</t>
  </si>
  <si>
    <t>325-1289 (J)</t>
  </si>
  <si>
    <t>TS</t>
  </si>
  <si>
    <t xml:space="preserve">   </t>
  </si>
  <si>
    <t>ERIC/JEFF (12)</t>
  </si>
  <si>
    <t>ANDREW (1)</t>
  </si>
  <si>
    <t>WES/BILL (5)</t>
  </si>
  <si>
    <t>KEMP/A/M (8)</t>
  </si>
  <si>
    <t>JARRETT/MATT (6)</t>
  </si>
  <si>
    <t>ADAM (4)</t>
  </si>
  <si>
    <t>Justin Herbert (LAC)</t>
  </si>
  <si>
    <t>Trevor Lawrence (Jax)</t>
  </si>
  <si>
    <t>Joe Burrow (Cin)</t>
  </si>
  <si>
    <t>Lamar Jackson (Bal)</t>
  </si>
  <si>
    <t>Patrick Mahomes (KC)</t>
  </si>
  <si>
    <t>CJ Stroud (Hou)</t>
  </si>
  <si>
    <t>Aaron Rodgers (Pit)</t>
  </si>
  <si>
    <t>JJ McCarthy (Min)</t>
  </si>
  <si>
    <t>Sam Darnold (Sea)</t>
  </si>
  <si>
    <t>Drake Maye (NE)</t>
  </si>
  <si>
    <t>Justin Fields (NYJ)</t>
  </si>
  <si>
    <t>Jared Goff (Det)</t>
  </si>
  <si>
    <t>Jameis Winston (NYG)</t>
  </si>
  <si>
    <t>Cam Ward (Ten)</t>
  </si>
  <si>
    <t>Jalen Milroe (Sea)</t>
  </si>
  <si>
    <t>Michael Penix (Atl)</t>
  </si>
  <si>
    <t>Bryce Young (Car)</t>
  </si>
  <si>
    <t>Daniel Jones (Ind)</t>
  </si>
  <si>
    <t>TreVeyon Henderson (NE)</t>
  </si>
  <si>
    <t>Christian McCaffrey (SF)</t>
  </si>
  <si>
    <t>Bijan Robinson (Atl)</t>
  </si>
  <si>
    <t>Jonathan Taylor (Ind)</t>
  </si>
  <si>
    <t>Chase Brown (Cin)</t>
  </si>
  <si>
    <t>Saquon Barkley (Phi)</t>
  </si>
  <si>
    <t>Brian Robinson (SF)</t>
  </si>
  <si>
    <t>Kenneth Walker III (Sea)</t>
  </si>
  <si>
    <t>Bucky Irving (TB)</t>
  </si>
  <si>
    <t>Derrick Henry (Bal)</t>
  </si>
  <si>
    <t>Alvin Kamara (NO)</t>
  </si>
  <si>
    <t>Ashton Jeanty (LV)</t>
  </si>
  <si>
    <t>Jacory Croskey-Merritt (Was)</t>
  </si>
  <si>
    <t>David Montgomery (Det)</t>
  </si>
  <si>
    <t>James Cook (Buf)</t>
  </si>
  <si>
    <t>Aaron Jones (Min)</t>
  </si>
  <si>
    <t>Tony Pollard (TEN)</t>
  </si>
  <si>
    <t>Breece Hall (NYJ)</t>
  </si>
  <si>
    <t>Javonte Williams (Dal)</t>
  </si>
  <si>
    <t>Najee Harris (LAC)</t>
  </si>
  <si>
    <t>Bhayshul Tuten (Jax)</t>
  </si>
  <si>
    <t>Rico Dowdle (Car)</t>
  </si>
  <si>
    <t>Cam Skattebo (NYG)</t>
  </si>
  <si>
    <t>Kimani Vidal (LAC)</t>
  </si>
  <si>
    <t>Nico Collins (Hou)</t>
  </si>
  <si>
    <t>Ladd McConkey (LAC)</t>
  </si>
  <si>
    <t>Brian Thomas Jr. (Jax)</t>
  </si>
  <si>
    <t>DeVonta Smith (Phi)</t>
  </si>
  <si>
    <t>Malik Nabers (NYG)</t>
  </si>
  <si>
    <t>Garrett Wilson (NYJ)</t>
  </si>
  <si>
    <t>Calvin Ridley (Ten)</t>
  </si>
  <si>
    <t>Jaylen Waddle (Mia)</t>
  </si>
  <si>
    <t>Drake London (Atl)</t>
  </si>
  <si>
    <t>Terry McLaurin (Was)</t>
  </si>
  <si>
    <t>CeeDee Lamb (Dal)</t>
  </si>
  <si>
    <t>Xavier Worthy (KC)</t>
  </si>
  <si>
    <t>Khalil Shakir (Buf)</t>
  </si>
  <si>
    <t>Stefon Diggs (NE)</t>
  </si>
  <si>
    <t>A.J. Brown (PHI)</t>
  </si>
  <si>
    <t>George Pickens (Dal)</t>
  </si>
  <si>
    <t>Rome Odunze (Chi)</t>
  </si>
  <si>
    <t>Chris Olave (NO)</t>
  </si>
  <si>
    <t>Kayshon Boutte (NE)</t>
  </si>
  <si>
    <t>Cooper Kupp (Sea)</t>
  </si>
  <si>
    <t>Matthew Golden (GB)</t>
  </si>
  <si>
    <t>Chris Godwin (TB)</t>
  </si>
  <si>
    <t>Travis Hunter (Jax)</t>
  </si>
  <si>
    <t>Ricky Pearsall (SF)</t>
  </si>
  <si>
    <t>Hunter Henry (NE)</t>
  </si>
  <si>
    <t>Trey McBride (Arz)</t>
  </si>
  <si>
    <t>Brock Bowers (LV)</t>
  </si>
  <si>
    <t>George Kittle (SF)</t>
  </si>
  <si>
    <t>Mark Andrews (Bal)</t>
  </si>
  <si>
    <t>Kyle Pitts (Atl)</t>
  </si>
  <si>
    <t>Colston Loveland (Chi)</t>
  </si>
  <si>
    <t>Mike Gesicki (Cin)</t>
  </si>
  <si>
    <t>Dalton Kincaid (Buf)</t>
  </si>
  <si>
    <t>David Njoku (Cle)</t>
  </si>
  <si>
    <t>Isaiah Likely (Bal)</t>
  </si>
  <si>
    <t>Terrance Ferguson (LAR)</t>
  </si>
  <si>
    <t>Zach Ertz (Was)</t>
  </si>
  <si>
    <t>Tyler Higbee (Cin)</t>
  </si>
  <si>
    <t>Harold Fannin (Cle)</t>
  </si>
  <si>
    <t>Oronde Gadsden (LAC)</t>
  </si>
  <si>
    <t>Elijah Arroyo (Sea)</t>
  </si>
  <si>
    <t>AJ Barner (Sea)</t>
  </si>
  <si>
    <t>Evan McPherson (Cin)</t>
  </si>
  <si>
    <t>Younghoe Koo (Atl)</t>
  </si>
  <si>
    <t>Jake Bates (Det)</t>
  </si>
  <si>
    <t>Cam Little (Jax)</t>
  </si>
  <si>
    <t>Ka'imi Fairbairn (Hou)</t>
  </si>
  <si>
    <t>Harrison Butker (KC)</t>
  </si>
  <si>
    <t>Graham Gano (NYG)</t>
  </si>
  <si>
    <t>Daniel Carlson (LV)</t>
  </si>
  <si>
    <t>Michael Badgley (Ind)</t>
  </si>
  <si>
    <t>Chad Ryland (Arz)</t>
  </si>
  <si>
    <t>Joshua Karty (LAR)</t>
  </si>
  <si>
    <t>Andres Borregales (NE)</t>
  </si>
  <si>
    <t>NY Giants</t>
  </si>
  <si>
    <t>Green Bay</t>
  </si>
  <si>
    <t xml:space="preserve">Philadelphia </t>
  </si>
  <si>
    <t>Pittsburgh</t>
  </si>
  <si>
    <t>Buffalo</t>
  </si>
  <si>
    <t>Detroit</t>
  </si>
  <si>
    <t>Atlanta</t>
  </si>
  <si>
    <t>Minnesota</t>
  </si>
  <si>
    <t>Indianapolis</t>
  </si>
  <si>
    <t>LA Chargers</t>
  </si>
  <si>
    <t>Cleveland</t>
  </si>
  <si>
    <t>Washington</t>
  </si>
  <si>
    <t>Matt LaFleur (GB)</t>
  </si>
  <si>
    <t>Andy Reid (KC)</t>
  </si>
  <si>
    <t>Nick Sirianni (Phi)</t>
  </si>
  <si>
    <t>Sean McDermott (Buf)</t>
  </si>
  <si>
    <t>Zac Taylor (Cin)</t>
  </si>
  <si>
    <t>Dan Quinn (Was)</t>
  </si>
  <si>
    <t>Mike Macdonald (Sea)</t>
  </si>
  <si>
    <t>Jim Harbaugh (LAC)</t>
  </si>
  <si>
    <t>Liam Coen (Jax)</t>
  </si>
  <si>
    <t>Raheem Morris (Atl)</t>
  </si>
  <si>
    <t>Kevin O'Connell (Min)</t>
  </si>
  <si>
    <t>Brian Schottenheimer (Dal)</t>
  </si>
  <si>
    <t>290-3039 cell</t>
  </si>
  <si>
    <t>(925) 285-4689 cell</t>
  </si>
  <si>
    <t>(925) 963-4220 (B)</t>
  </si>
  <si>
    <t>759-5396 cell</t>
  </si>
  <si>
    <t>282-0896 cell</t>
  </si>
  <si>
    <t>566-9674 cell</t>
  </si>
  <si>
    <t>421-1634 (W)</t>
  </si>
  <si>
    <t>Key</t>
  </si>
  <si>
    <t>1=andrew</t>
  </si>
  <si>
    <t>2=John</t>
  </si>
  <si>
    <t>3=w/b</t>
  </si>
  <si>
    <t>4=SL</t>
  </si>
  <si>
    <t>5=G/G</t>
  </si>
  <si>
    <t>6=J/M</t>
  </si>
  <si>
    <t>7=KL</t>
  </si>
  <si>
    <t>8=KAM</t>
  </si>
  <si>
    <t>9=K/D</t>
  </si>
  <si>
    <t>10=E/J</t>
  </si>
  <si>
    <t>11=Adam</t>
  </si>
  <si>
    <t>12=D/J</t>
  </si>
  <si>
    <t>Player</t>
  </si>
  <si>
    <t>PassY</t>
  </si>
  <si>
    <t>RushY</t>
  </si>
  <si>
    <t>RecY</t>
  </si>
  <si>
    <t>TD</t>
  </si>
  <si>
    <t>2pt</t>
  </si>
  <si>
    <t>INT</t>
  </si>
  <si>
    <t>INTD</t>
  </si>
  <si>
    <t>FumL</t>
  </si>
  <si>
    <t>FumTD</t>
  </si>
  <si>
    <t>Total</t>
  </si>
  <si>
    <t>Kirk/D</t>
  </si>
  <si>
    <t>FG1</t>
  </si>
  <si>
    <t>FG2</t>
  </si>
  <si>
    <t>FG3</t>
  </si>
  <si>
    <t>FG4</t>
  </si>
  <si>
    <t>FG5</t>
  </si>
  <si>
    <t>FG6</t>
  </si>
  <si>
    <t>FG7</t>
  </si>
  <si>
    <t>PAT</t>
  </si>
  <si>
    <t>FGM</t>
  </si>
  <si>
    <t>PATM</t>
  </si>
  <si>
    <t>Pts</t>
  </si>
  <si>
    <t>Sacks</t>
  </si>
  <si>
    <t>FumR</t>
  </si>
  <si>
    <t>Safe</t>
  </si>
  <si>
    <t>BlkK</t>
  </si>
  <si>
    <t>BlkPAT</t>
  </si>
  <si>
    <t>Steve L</t>
  </si>
  <si>
    <t>John</t>
  </si>
  <si>
    <t>Kevin</t>
  </si>
  <si>
    <t>D/J</t>
  </si>
  <si>
    <t>Greg/G</t>
  </si>
  <si>
    <t>Eric/J</t>
  </si>
  <si>
    <t>Andrew</t>
  </si>
  <si>
    <t>Wes/B</t>
  </si>
  <si>
    <t>K/A/M</t>
  </si>
  <si>
    <t>J/M</t>
  </si>
  <si>
    <t>Adam</t>
  </si>
  <si>
    <t xml:space="preserve">Week </t>
  </si>
  <si>
    <t>Score</t>
  </si>
  <si>
    <t>Team</t>
  </si>
  <si>
    <t>W</t>
  </si>
  <si>
    <t>L</t>
  </si>
  <si>
    <t>T</t>
  </si>
  <si>
    <t>T6</t>
  </si>
  <si>
    <t>W+6</t>
  </si>
  <si>
    <t>Z-Score</t>
  </si>
  <si>
    <t>Kemp/A/M</t>
  </si>
  <si>
    <t>Greg/Griff</t>
  </si>
  <si>
    <t>Bill/Wes</t>
  </si>
  <si>
    <t>Jarrett/M</t>
  </si>
  <si>
    <t>Dannny/Joey</t>
  </si>
  <si>
    <t>Danny/Joey</t>
  </si>
  <si>
    <t/>
  </si>
  <si>
    <t>Russell Wilson (NYG)</t>
  </si>
  <si>
    <t>Spencer Rattler (NO)</t>
  </si>
  <si>
    <t>James Conner (Arz)</t>
  </si>
  <si>
    <t>Mike Evans (TB)</t>
  </si>
  <si>
    <t>Tyreek Hill (Mia)</t>
  </si>
  <si>
    <t>Isaiah Pacheco (KC)</t>
  </si>
  <si>
    <t>Ray Davis (Buf)</t>
  </si>
  <si>
    <t>Tank Bigsby (Jax</t>
  </si>
  <si>
    <t>Josh Downs (Ind)</t>
  </si>
  <si>
    <t>Brandon Aiyuk (SF)</t>
  </si>
  <si>
    <t>Jerry Jeudy (Cle)</t>
  </si>
  <si>
    <t>Cole Kmet (Chi)</t>
  </si>
  <si>
    <t>Chig Okonkwo (Ten)</t>
  </si>
  <si>
    <t>Ja'Tavion Sanders (Car)</t>
  </si>
  <si>
    <t>Cairo Santos (Chi)</t>
  </si>
  <si>
    <t>Tyler Bass (Buf)</t>
  </si>
  <si>
    <t>NY Jets</t>
  </si>
  <si>
    <t>Anthony Richardson (Ind)</t>
  </si>
  <si>
    <t>Brian Thomas (Jax)</t>
  </si>
  <si>
    <t>Geno Smith (LV)</t>
  </si>
  <si>
    <t>Chris Rodriguez (Was)</t>
  </si>
  <si>
    <t>Braelon Allen (NYJ)</t>
  </si>
  <si>
    <t>Amari Cooper (LV)</t>
  </si>
  <si>
    <t>Pat Freiermuth (Pit)</t>
  </si>
  <si>
    <t>Jake Moody (SF)</t>
  </si>
  <si>
    <t>Justin Tucker ()</t>
  </si>
  <si>
    <t>Quinshon Judkins (Cle)</t>
  </si>
  <si>
    <t>Rhamondre Stevenson (NE)</t>
  </si>
  <si>
    <t>Anthony Richardson</t>
  </si>
  <si>
    <t>JK Dobbins</t>
  </si>
  <si>
    <t>Jayden Higgins</t>
  </si>
  <si>
    <t>Jauan Jennings</t>
  </si>
  <si>
    <t>Luther Burden</t>
  </si>
  <si>
    <t>Michael Penix</t>
  </si>
  <si>
    <t>James Conner</t>
  </si>
  <si>
    <t>Keenan Allen (LAC)</t>
  </si>
  <si>
    <t>Matt Gay (SF)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</si>
</sst>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0\)"/>
    <numFmt numFmtId="165" formatCode="0_);\(0\)"/>
  </numFmts>
  <fonts count="13">
    <font>
      <sz val="11.0"/>
      <color theme="1"/>
      <name val="Calibri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>
      <color theme="1"/>
      <name val="Calibri"/>
      <scheme val="minor"/>
    </font>
    <font>
      <b/>
      <color rgb="FF000000"/>
      <name val="Calibri"/>
      <scheme val="minor"/>
    </font>
    <font>
      <b/>
      <sz val="11.0"/>
      <color rgb="FF000000"/>
      <name val="&quot;Calibri&quot;"/>
    </font>
    <font>
      <color rgb="FF000000"/>
      <name val="Calibri"/>
      <scheme val="minor"/>
    </font>
    <font>
      <sz val="11.0"/>
      <color rgb="FF000000"/>
      <name val="&quot;Calibri&quot;"/>
    </font>
    <font>
      <sz val="11.0"/>
      <color theme="1"/>
      <name val="Calibri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sz val="10.0"/>
      <color theme="1"/>
      <name val="Times New Roman"/>
    </font>
    <font>
      <b/>
      <sz val="10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1" numFmtId="0" xfId="0" applyFill="1" applyFont="1"/>
    <xf borderId="0" fillId="2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quotePrefix="1" borderId="0" fillId="0" fontId="2" numFmtId="0" xfId="0" applyFont="1"/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2" fontId="4" numFmtId="0" xfId="0" applyFont="1"/>
    <xf borderId="0" fillId="2" fontId="4" numFmtId="0" xfId="0" applyAlignment="1" applyFont="1">
      <alignment horizontal="center"/>
    </xf>
    <xf borderId="0" fillId="2" fontId="5" numFmtId="0" xfId="0" applyFont="1"/>
    <xf borderId="0" fillId="2" fontId="6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5" numFmtId="0" xfId="0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6" numFmtId="0" xfId="0" applyAlignment="1" applyFont="1">
      <alignment horizontal="center"/>
    </xf>
    <xf borderId="0" fillId="2" fontId="5" numFmtId="0" xfId="0" applyAlignment="1" applyFont="1">
      <alignment horizontal="center"/>
    </xf>
    <xf borderId="1" fillId="0" fontId="0" numFmtId="0" xfId="0" applyAlignment="1" applyBorder="1" applyFont="1">
      <alignment readingOrder="0"/>
    </xf>
    <xf borderId="2" fillId="0" fontId="0" numFmtId="0" xfId="0" applyBorder="1" applyFont="1"/>
    <xf borderId="2" fillId="0" fontId="0" numFmtId="0" xfId="0" applyAlignment="1" applyBorder="1" applyFont="1">
      <alignment horizontal="center"/>
    </xf>
    <xf borderId="3" fillId="3" fontId="0" numFmtId="0" xfId="0" applyAlignment="1" applyBorder="1" applyFill="1" applyFont="1">
      <alignment horizontal="center"/>
    </xf>
    <xf borderId="4" fillId="3" fontId="0" numFmtId="0" xfId="0" applyAlignment="1" applyBorder="1" applyFont="1">
      <alignment horizontal="center"/>
    </xf>
    <xf borderId="0" fillId="0" fontId="0" numFmtId="0" xfId="0" applyFont="1"/>
    <xf borderId="5" fillId="0" fontId="0" numFmtId="0" xfId="0" applyAlignment="1" applyBorder="1" applyFont="1">
      <alignment readingOrder="0"/>
    </xf>
    <xf borderId="6" fillId="0" fontId="8" numFmtId="0" xfId="0" applyAlignment="1" applyBorder="1" applyFont="1">
      <alignment vertical="bottom"/>
    </xf>
    <xf borderId="6" fillId="0" fontId="0" numFmtId="0" xfId="0" applyAlignment="1" applyBorder="1" applyFont="1">
      <alignment horizontal="center" readingOrder="0"/>
    </xf>
    <xf borderId="7" fillId="3" fontId="0" numFmtId="0" xfId="0" applyAlignment="1" applyBorder="1" applyFont="1">
      <alignment horizontal="center"/>
    </xf>
    <xf borderId="8" fillId="0" fontId="0" numFmtId="0" xfId="0" applyAlignment="1" applyBorder="1" applyFont="1">
      <alignment horizontal="center"/>
    </xf>
    <xf borderId="9" fillId="0" fontId="0" numFmtId="0" xfId="0" applyBorder="1" applyFont="1"/>
    <xf borderId="0" fillId="0" fontId="8" numFmtId="0" xfId="0" applyAlignment="1" applyFont="1">
      <alignment vertical="bottom"/>
    </xf>
    <xf borderId="0" fillId="0" fontId="0" numFmtId="0" xfId="0" applyAlignment="1" applyFont="1">
      <alignment horizontal="center" readingOrder="0"/>
    </xf>
    <xf borderId="10" fillId="3" fontId="0" numFmtId="0" xfId="0" applyAlignment="1" applyBorder="1" applyFont="1">
      <alignment horizontal="center" readingOrder="0"/>
    </xf>
    <xf borderId="0" fillId="0" fontId="0" numFmtId="0" xfId="0" applyAlignment="1" applyFont="1">
      <alignment horizontal="right"/>
    </xf>
    <xf borderId="10" fillId="3" fontId="0" numFmtId="0" xfId="0" applyAlignment="1" applyBorder="1" applyFont="1">
      <alignment horizontal="center"/>
    </xf>
    <xf borderId="9" fillId="0" fontId="0" numFmtId="0" xfId="0" applyAlignment="1" applyBorder="1" applyFont="1">
      <alignment horizontal="right"/>
    </xf>
    <xf borderId="11" fillId="0" fontId="0" numFmtId="0" xfId="0" applyAlignment="1" applyBorder="1" applyFont="1">
      <alignment horizontal="center"/>
    </xf>
    <xf borderId="12" fillId="3" fontId="0" numFmtId="0" xfId="0" applyBorder="1" applyFont="1"/>
    <xf borderId="0" fillId="3" fontId="8" numFmtId="0" xfId="0" applyAlignment="1" applyFont="1">
      <alignment vertical="bottom"/>
    </xf>
    <xf borderId="13" fillId="3" fontId="0" numFmtId="0" xfId="0" applyAlignment="1" applyBorder="1" applyFont="1">
      <alignment horizontal="center"/>
    </xf>
    <xf borderId="13" fillId="3" fontId="0" numFmtId="0" xfId="0" applyAlignment="1" applyBorder="1" applyFont="1">
      <alignment horizontal="center" readingOrder="0"/>
    </xf>
    <xf borderId="14" fillId="0" fontId="0" numFmtId="0" xfId="0" applyBorder="1" applyFont="1"/>
    <xf borderId="15" fillId="0" fontId="8" numFmtId="0" xfId="0" applyAlignment="1" applyBorder="1" applyFont="1">
      <alignment vertical="bottom"/>
    </xf>
    <xf borderId="15" fillId="0" fontId="0" numFmtId="0" xfId="0" applyAlignment="1" applyBorder="1" applyFont="1">
      <alignment horizontal="center" readingOrder="0"/>
    </xf>
    <xf borderId="16" fillId="3" fontId="0" numFmtId="0" xfId="0" applyAlignment="1" applyBorder="1" applyFont="1">
      <alignment horizontal="center"/>
    </xf>
    <xf borderId="17" fillId="3" fontId="0" numFmtId="0" xfId="0" applyAlignment="1" applyBorder="1" applyFont="1">
      <alignment horizontal="center"/>
    </xf>
    <xf borderId="18" fillId="0" fontId="0" numFmtId="0" xfId="0" applyAlignment="1" applyBorder="1" applyFont="1">
      <alignment horizontal="center"/>
    </xf>
    <xf borderId="5" fillId="0" fontId="0" numFmtId="0" xfId="0" applyBorder="1" applyFont="1"/>
    <xf borderId="0" fillId="0" fontId="0" numFmtId="0" xfId="0" applyAlignment="1" applyFont="1">
      <alignment horizontal="center"/>
    </xf>
    <xf borderId="0" fillId="0" fontId="9" numFmtId="0" xfId="0" applyFont="1"/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0" numFmtId="49" xfId="0" applyAlignment="1" applyFont="1" applyNumberFormat="1">
      <alignment horizontal="center"/>
    </xf>
    <xf borderId="0" fillId="0" fontId="3" numFmtId="2" xfId="0" applyAlignment="1" applyFont="1" applyNumberFormat="1">
      <alignment horizontal="center" readingOrder="0"/>
    </xf>
    <xf borderId="0" fillId="0" fontId="0" numFmtId="0" xfId="0" applyAlignment="1" applyFont="1">
      <alignment horizontal="left"/>
    </xf>
    <xf borderId="0" fillId="0" fontId="3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/>
    </xf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0" fontId="0" numFmtId="49" xfId="0" applyAlignment="1" applyFont="1" applyNumberFormat="1">
      <alignment horizontal="center" readingOrder="0"/>
    </xf>
    <xf borderId="0" fillId="0" fontId="10" numFmtId="0" xfId="0" applyAlignment="1" applyFont="1">
      <alignment horizontal="center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0" numFmtId="0" xfId="0" applyAlignment="1" applyFont="1">
      <alignment horizontal="center"/>
    </xf>
    <xf borderId="0" fillId="0" fontId="0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2" fontId="1" numFmtId="0" xfId="0" applyFont="1"/>
    <xf borderId="0" fillId="2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quotePrefix="1" borderId="0" fillId="0" fontId="1" numFmtId="0" xfId="0" applyFont="1"/>
    <xf borderId="0" fillId="0" fontId="2" numFmtId="0" xfId="0" applyAlignment="1" applyFont="1">
      <alignment horizontal="left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2" fontId="12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quotePrefix="1" borderId="0" fillId="0" fontId="11" numFmtId="0" xfId="0" applyAlignment="1" applyFont="1">
      <alignment vertical="bottom"/>
    </xf>
    <xf borderId="0" fillId="0" fontId="11" numFmtId="164" xfId="0" applyAlignment="1" applyFont="1" applyNumberFormat="1">
      <alignment vertical="bottom"/>
    </xf>
    <xf borderId="0" fillId="0" fontId="12" numFmtId="164" xfId="0" applyAlignment="1" applyFont="1" applyNumberFormat="1">
      <alignment vertical="bottom"/>
    </xf>
    <xf borderId="0" fillId="0" fontId="12" numFmtId="0" xfId="0" applyAlignment="1" applyFont="1">
      <alignment readingOrder="0" vertical="bottom"/>
    </xf>
    <xf borderId="0" fillId="0" fontId="11" numFmtId="165" xfId="0" applyAlignment="1" applyFont="1" applyNumberFormat="1">
      <alignment vertical="bottom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4.14"/>
    <col customWidth="1" min="23" max="23" width="4.0"/>
    <col customWidth="1" min="24" max="24" width="3.0"/>
    <col customWidth="1" min="25" max="25" width="3.71"/>
    <col customWidth="1" min="26" max="26" width="3.57"/>
  </cols>
  <sheetData>
    <row r="1" ht="12.75" customHeight="1">
      <c r="A1" s="1"/>
      <c r="B1" s="2"/>
      <c r="C1" s="3"/>
      <c r="D1" s="4" t="s">
        <v>0</v>
      </c>
      <c r="E1" s="2"/>
      <c r="F1" s="1"/>
      <c r="G1" s="4" t="s">
        <v>1</v>
      </c>
      <c r="H1" s="2"/>
      <c r="I1" s="1"/>
      <c r="J1" s="5" t="s">
        <v>2</v>
      </c>
      <c r="K1" s="2"/>
      <c r="L1" s="1"/>
      <c r="M1" s="4" t="s">
        <v>3</v>
      </c>
      <c r="N1" s="2"/>
      <c r="O1" s="1"/>
      <c r="P1" s="4" t="s">
        <v>4</v>
      </c>
      <c r="Q1" s="1"/>
      <c r="R1" s="6"/>
      <c r="S1" s="4" t="s">
        <v>5</v>
      </c>
      <c r="T1" s="1"/>
      <c r="U1" s="1"/>
      <c r="V1" s="7"/>
      <c r="W1" s="8"/>
      <c r="X1" s="7"/>
      <c r="Y1" s="7"/>
      <c r="Z1" s="8"/>
    </row>
    <row r="2" ht="12.75" customHeight="1">
      <c r="A2" s="9" t="s">
        <v>6</v>
      </c>
      <c r="B2" s="10" t="str">
        <f>IF(C2="*", SUMIF(Scoring!B2:B13, Rosters!D2, Scoring!M2:M13), "")</f>
        <v/>
      </c>
      <c r="C2" s="11"/>
      <c r="D2" s="9" t="s">
        <v>7</v>
      </c>
      <c r="E2" s="10" t="str">
        <f>IF(F2="*", SUMIF(Scoring!B14:B25, Rosters!G2, Scoring!M14:M25), "")</f>
        <v/>
      </c>
      <c r="F2" s="11"/>
      <c r="G2" s="12" t="s">
        <v>8</v>
      </c>
      <c r="H2" s="10">
        <f>IF(I2="*", SUMIF(Scoring!B26:B37, Rosters!J2, Scoring!M26:M37), "")</f>
        <v>9</v>
      </c>
      <c r="I2" s="13" t="s">
        <v>9</v>
      </c>
      <c r="J2" s="1" t="s">
        <v>10</v>
      </c>
      <c r="K2" s="10">
        <f>IF(L2="*", SUMIF(Scoring!B38:B49, Rosters!M2, Scoring!M38:M49), "")</f>
        <v>12</v>
      </c>
      <c r="L2" s="11" t="s">
        <v>9</v>
      </c>
      <c r="M2" s="5" t="s">
        <v>11</v>
      </c>
      <c r="N2" s="10">
        <f>IF(O2="*", SUMIF(Scoring!B50:B61, Rosters!P2, Scoring!M50:M61), "")</f>
        <v>11</v>
      </c>
      <c r="O2" s="11" t="s">
        <v>9</v>
      </c>
      <c r="P2" s="1" t="s">
        <v>12</v>
      </c>
      <c r="Q2" s="10">
        <f>IF(R2="*", SUMIF(Scoring!B62:B73, Rosters!S2, Scoring!M62:M73), "")</f>
        <v>6</v>
      </c>
      <c r="R2" s="11" t="s">
        <v>9</v>
      </c>
      <c r="S2" s="5" t="s">
        <v>13</v>
      </c>
      <c r="T2" s="9"/>
      <c r="U2" s="9"/>
      <c r="V2" s="9"/>
      <c r="W2" s="3"/>
      <c r="X2" s="9"/>
      <c r="Y2" s="9"/>
      <c r="Z2" s="3"/>
    </row>
    <row r="3" ht="12.75" customHeight="1">
      <c r="A3" s="9"/>
      <c r="B3" s="10">
        <f>IF(C3="*", SUMIF(Scoring!B2:B13, Rosters!D3, Scoring!M2:M13), "")</f>
        <v>26</v>
      </c>
      <c r="C3" s="11" t="s">
        <v>9</v>
      </c>
      <c r="D3" s="1" t="s">
        <v>14</v>
      </c>
      <c r="E3" s="10">
        <f>IF(F3="*", SUMIF(Scoring!B14:B25, Rosters!G3, Scoring!M14:M25), "")</f>
        <v>0</v>
      </c>
      <c r="F3" s="11" t="s">
        <v>9</v>
      </c>
      <c r="G3" s="5" t="s">
        <v>15</v>
      </c>
      <c r="H3" s="10" t="str">
        <f>IF(I3="*", SUMIF(Scoring!B26:B37, Rosters!J3, Scoring!M26:M37), "")</f>
        <v/>
      </c>
      <c r="I3" s="11"/>
      <c r="J3" s="9" t="s">
        <v>16</v>
      </c>
      <c r="K3" s="10" t="str">
        <f>IF(L3="*", SUMIF(Scoring!B38:B49, Rosters!M3, Scoring!M38:M49), "")</f>
        <v/>
      </c>
      <c r="L3" s="11"/>
      <c r="M3" s="9" t="s">
        <v>17</v>
      </c>
      <c r="N3" s="10" t="str">
        <f>IF(O3="*", SUMIF(Scoring!B50:B61, Rosters!P3, Scoring!M50:M61), "")</f>
        <v/>
      </c>
      <c r="O3" s="11"/>
      <c r="P3" s="9" t="s">
        <v>18</v>
      </c>
      <c r="Q3" s="10" t="str">
        <f>IF(R3="*", SUMIF(Scoring!B62:B73, Rosters!S3, Scoring!M62:M73), "")</f>
        <v/>
      </c>
      <c r="R3" s="11"/>
      <c r="S3" s="9" t="s">
        <v>19</v>
      </c>
      <c r="T3" s="9"/>
      <c r="U3" s="9"/>
      <c r="V3" s="9"/>
      <c r="W3" s="3"/>
      <c r="X3" s="9"/>
      <c r="Y3" s="9"/>
      <c r="Z3" s="3"/>
    </row>
    <row r="4" ht="12.75" customHeight="1">
      <c r="A4" s="9"/>
      <c r="B4" s="10" t="str">
        <f>IF(C4="*", SUMIF(Scoring!B2:B13, Rosters!D4, Scoring!M2:M13), "")</f>
        <v/>
      </c>
      <c r="C4" s="11"/>
      <c r="D4" s="12" t="s">
        <v>20</v>
      </c>
      <c r="E4" s="10" t="str">
        <f>IF(F4="*", SUMIF(Scoring!B14:B25, Rosters!G4, Scoring!M14:M25), "")</f>
        <v/>
      </c>
      <c r="F4" s="11"/>
      <c r="G4" s="12" t="s">
        <v>21</v>
      </c>
      <c r="H4" s="10" t="str">
        <f>IF(I4="*", SUMIF(Scoring!B26:B37, Rosters!J4, Scoring!M26:M37), "")</f>
        <v/>
      </c>
      <c r="I4" s="11"/>
      <c r="J4" s="12" t="s">
        <v>22</v>
      </c>
      <c r="K4" s="10" t="str">
        <f>IF(L4="*", SUMIF(Scoring!B38:B49, Rosters!M4, Scoring!M38:M49), "")</f>
        <v/>
      </c>
      <c r="L4" s="14"/>
      <c r="M4" s="12" t="s">
        <v>23</v>
      </c>
      <c r="N4" s="10" t="str">
        <f>IF(O4="*", SUMIF(Scoring!B50:B61, Rosters!P4, Scoring!M50:M61), "")</f>
        <v/>
      </c>
      <c r="O4" s="11"/>
      <c r="P4" s="12" t="s">
        <v>24</v>
      </c>
      <c r="Q4" s="10" t="str">
        <f>IF(R4="*", SUMIF(Scoring!B62:B73, Rosters!S4, Scoring!M62:M73), "")</f>
        <v/>
      </c>
      <c r="R4" s="11"/>
      <c r="S4" s="12" t="s">
        <v>25</v>
      </c>
      <c r="T4" s="9"/>
      <c r="U4" s="9"/>
      <c r="V4" s="9"/>
      <c r="W4" s="3"/>
      <c r="X4" s="9"/>
      <c r="Y4" s="9"/>
      <c r="Z4" s="3"/>
    </row>
    <row r="5" ht="12.75" customHeight="1">
      <c r="A5" s="9"/>
      <c r="B5" s="10"/>
      <c r="C5" s="3"/>
      <c r="D5" s="9"/>
      <c r="E5" s="10"/>
      <c r="F5" s="3"/>
      <c r="G5" s="9"/>
      <c r="H5" s="10" t="str">
        <f>IF(I5="*", SUMIF(Scoring!B26:B37, Rosters!J5, Scoring!M26:M37), "")</f>
        <v/>
      </c>
      <c r="I5" s="3"/>
      <c r="J5" s="9"/>
      <c r="K5" s="10"/>
      <c r="L5" s="3"/>
      <c r="M5" s="9"/>
      <c r="N5" s="10"/>
      <c r="O5" s="3"/>
      <c r="P5" s="9"/>
      <c r="Q5" s="10"/>
      <c r="R5" s="3"/>
      <c r="S5" s="9"/>
      <c r="T5" s="9"/>
      <c r="U5" s="9"/>
      <c r="V5" s="9"/>
      <c r="W5" s="3"/>
      <c r="X5" s="9"/>
      <c r="Y5" s="9"/>
      <c r="Z5" s="3"/>
    </row>
    <row r="6" ht="12.75" customHeight="1">
      <c r="A6" s="9" t="s">
        <v>26</v>
      </c>
      <c r="B6" s="10">
        <f>IF(C6="*", SUMIF(Scoring!B2:B13, Rosters!D6, Scoring!M2:M13), "")</f>
        <v>2</v>
      </c>
      <c r="C6" s="11" t="s">
        <v>9</v>
      </c>
      <c r="D6" s="1" t="s">
        <v>27</v>
      </c>
      <c r="E6" s="10">
        <f>IF(F6="*", SUMIF(Scoring!B14:B25, Rosters!G6, Scoring!M14:M25), "")</f>
        <v>0</v>
      </c>
      <c r="F6" s="11" t="s">
        <v>9</v>
      </c>
      <c r="G6" s="1" t="s">
        <v>28</v>
      </c>
      <c r="H6" s="10">
        <f>IF(I6="*", SUMIF(Scoring!B26:B37, Rosters!J6, Scoring!M26:M37), "")</f>
        <v>6</v>
      </c>
      <c r="I6" s="11" t="s">
        <v>9</v>
      </c>
      <c r="J6" s="5" t="s">
        <v>29</v>
      </c>
      <c r="K6" s="10">
        <f>IF(L6="*", SUMIF(Scoring!B38:B49, Rosters!M6, Scoring!M38:M49), "")</f>
        <v>10</v>
      </c>
      <c r="L6" s="11" t="s">
        <v>9</v>
      </c>
      <c r="M6" s="5" t="s">
        <v>30</v>
      </c>
      <c r="N6" s="10" t="str">
        <f>IF(O6="*", SUMIF(Scoring!B50:B61, Rosters!P6, Scoring!M50:M61), "")</f>
        <v/>
      </c>
      <c r="O6" s="11"/>
      <c r="P6" s="9" t="s">
        <v>31</v>
      </c>
      <c r="Q6" s="10" t="str">
        <f>IF(R6="*", SUMIF(Scoring!B62:B73, Rosters!S6, Scoring!M62:M73), "")</f>
        <v/>
      </c>
      <c r="R6" s="11"/>
      <c r="S6" s="12" t="s">
        <v>32</v>
      </c>
      <c r="T6" s="9"/>
      <c r="U6" s="9"/>
      <c r="V6" s="9"/>
      <c r="W6" s="3"/>
      <c r="X6" s="9"/>
      <c r="Y6" s="9"/>
      <c r="Z6" s="3"/>
    </row>
    <row r="7" ht="12.75" customHeight="1">
      <c r="A7" s="9"/>
      <c r="B7" s="10" t="str">
        <f>IF(C7="*", SUMIF(Scoring!B2:B13, Rosters!D7, Scoring!M2:M13), "")</f>
        <v/>
      </c>
      <c r="C7" s="11"/>
      <c r="D7" s="12" t="s">
        <v>33</v>
      </c>
      <c r="E7" s="10" t="str">
        <f>IF(F7="*", SUMIF(Scoring!B14:B25, Rosters!G7, Scoring!M14:M25), "")</f>
        <v/>
      </c>
      <c r="F7" s="11"/>
      <c r="G7" s="12" t="s">
        <v>34</v>
      </c>
      <c r="H7" s="10" t="str">
        <f>IF(I7="*", SUMIF(Scoring!B26:B37, Rosters!J7, Scoring!M26:M37), "")</f>
        <v/>
      </c>
      <c r="I7" s="11"/>
      <c r="J7" s="12" t="s">
        <v>35</v>
      </c>
      <c r="K7" s="10" t="str">
        <f>IF(L7="*", SUMIF(Scoring!B38:B49, Rosters!M7, Scoring!M38:M49), "")</f>
        <v/>
      </c>
      <c r="L7" s="11"/>
      <c r="M7" s="9" t="s">
        <v>36</v>
      </c>
      <c r="N7" s="10" t="str">
        <f>IF(O7="*", SUMIF(Scoring!B50:B61, Rosters!P7, Scoring!M50:M61), "")</f>
        <v/>
      </c>
      <c r="O7" s="11"/>
      <c r="P7" s="12" t="s">
        <v>37</v>
      </c>
      <c r="Q7" s="10" t="str">
        <f>IF(R7="*", SUMIF(Scoring!B62:B73, Rosters!S7, Scoring!M62:M73), "")</f>
        <v/>
      </c>
      <c r="R7" s="11"/>
      <c r="S7" s="12" t="s">
        <v>38</v>
      </c>
      <c r="T7" s="9"/>
      <c r="U7" s="9"/>
      <c r="V7" s="9"/>
      <c r="W7" s="3"/>
      <c r="X7" s="9"/>
      <c r="Y7" s="9"/>
      <c r="Z7" s="3"/>
    </row>
    <row r="8" ht="12.75" customHeight="1">
      <c r="A8" s="9"/>
      <c r="B8" s="10" t="str">
        <f>IF(C8="*", SUMIF(Scoring!B2:B13, Rosters!D8, Scoring!M2:M13), "")</f>
        <v/>
      </c>
      <c r="C8" s="11"/>
      <c r="D8" s="12" t="s">
        <v>39</v>
      </c>
      <c r="E8" s="10">
        <f>IF(F8="*", SUMIF(Scoring!B14:B25, Rosters!G8, Scoring!M14:M25), "")</f>
        <v>0</v>
      </c>
      <c r="F8" s="11" t="s">
        <v>9</v>
      </c>
      <c r="G8" s="4" t="s">
        <v>40</v>
      </c>
      <c r="H8" s="10">
        <f>IF(I8="*", SUMIF(Scoring!B26:B37, Rosters!J8, Scoring!M26:M37), "")</f>
        <v>8</v>
      </c>
      <c r="I8" s="11" t="s">
        <v>9</v>
      </c>
      <c r="J8" s="1" t="s">
        <v>41</v>
      </c>
      <c r="K8" s="10" t="str">
        <f>IF(L8="*", SUMIF(Scoring!B38:B49, Rosters!M8, Scoring!M38:M49), "")</f>
        <v/>
      </c>
      <c r="L8" s="11"/>
      <c r="M8" s="12" t="s">
        <v>42</v>
      </c>
      <c r="N8" s="10">
        <f>IF(O8="*", SUMIF(Scoring!B50:B61, Rosters!P8, Scoring!M50:M61), "")</f>
        <v>6</v>
      </c>
      <c r="O8" s="11" t="s">
        <v>9</v>
      </c>
      <c r="P8" s="15" t="s">
        <v>43</v>
      </c>
      <c r="Q8" s="10">
        <f>IF(R8="*", SUMIF(Scoring!B62:B73, Rosters!S8, Scoring!M62:M73), "")</f>
        <v>4</v>
      </c>
      <c r="R8" s="11" t="s">
        <v>9</v>
      </c>
      <c r="S8" s="4" t="s">
        <v>44</v>
      </c>
      <c r="T8" s="9"/>
      <c r="U8" s="9"/>
      <c r="V8" s="9"/>
      <c r="W8" s="3"/>
      <c r="X8" s="9"/>
      <c r="Y8" s="9"/>
      <c r="Z8" s="3"/>
    </row>
    <row r="9" ht="12.75" customHeight="1">
      <c r="A9" s="9"/>
      <c r="B9" s="10">
        <f>IF(C9="*", SUMIF(Scoring!B2:B13, Rosters!D9, Scoring!M2:M13), "")</f>
        <v>12</v>
      </c>
      <c r="C9" s="11" t="s">
        <v>9</v>
      </c>
      <c r="D9" s="5" t="s">
        <v>45</v>
      </c>
      <c r="E9" s="10" t="str">
        <f>IF(F9="*", SUMIF(Scoring!B14:B25, Rosters!G9, Scoring!M14:M25), "")</f>
        <v/>
      </c>
      <c r="F9" s="11"/>
      <c r="G9" s="12" t="s">
        <v>46</v>
      </c>
      <c r="H9" s="10" t="str">
        <f>IF(I9="*", SUMIF(Scoring!B26:B37, Rosters!J9, Scoring!M26:M37), "")</f>
        <v/>
      </c>
      <c r="I9" s="11"/>
      <c r="J9" s="12" t="s">
        <v>47</v>
      </c>
      <c r="K9" s="10">
        <f>IF(L9="*", SUMIF(Scoring!B38:B49, Rosters!M9, Scoring!M38:M49), "")</f>
        <v>0</v>
      </c>
      <c r="L9" s="11" t="s">
        <v>9</v>
      </c>
      <c r="M9" s="5" t="s">
        <v>48</v>
      </c>
      <c r="N9" s="10">
        <f>IF(O9="*", SUMIF(Scoring!B50:B61, Rosters!P9, Scoring!M50:M61), "")</f>
        <v>0</v>
      </c>
      <c r="O9" s="11" t="s">
        <v>9</v>
      </c>
      <c r="P9" s="16" t="s">
        <v>49</v>
      </c>
      <c r="Q9" s="10">
        <f>IF(R9="*", SUMIF(Scoring!B62:B73, Rosters!S9, Scoring!M62:M73), "")</f>
        <v>6</v>
      </c>
      <c r="R9" s="11" t="s">
        <v>9</v>
      </c>
      <c r="S9" s="5" t="s">
        <v>50</v>
      </c>
      <c r="T9" s="9"/>
      <c r="U9" s="9"/>
      <c r="V9" s="9"/>
      <c r="W9" s="3"/>
      <c r="X9" s="9"/>
      <c r="Y9" s="9"/>
      <c r="Z9" s="3"/>
    </row>
    <row r="10" ht="12.75" customHeight="1">
      <c r="A10" s="9"/>
      <c r="B10" s="10"/>
      <c r="C10" s="3"/>
      <c r="D10" s="9"/>
      <c r="E10" s="10"/>
      <c r="F10" s="3"/>
      <c r="G10" s="9"/>
      <c r="H10" s="10" t="str">
        <f>IF(I10="*", SUMIF(Scoring!B26:B37, Rosters!J10, Scoring!M26:M37), "")</f>
        <v/>
      </c>
      <c r="I10" s="3"/>
      <c r="J10" s="9"/>
      <c r="K10" s="10"/>
      <c r="L10" s="3"/>
      <c r="M10" s="9"/>
      <c r="N10" s="10"/>
      <c r="O10" s="3"/>
      <c r="P10" s="9"/>
      <c r="Q10" s="10"/>
      <c r="R10" s="3"/>
      <c r="S10" s="9"/>
      <c r="T10" s="9"/>
      <c r="U10" s="9"/>
      <c r="V10" s="9"/>
      <c r="W10" s="3"/>
      <c r="X10" s="9"/>
      <c r="Y10" s="9"/>
      <c r="Z10" s="3"/>
    </row>
    <row r="11" ht="12.75" customHeight="1">
      <c r="A11" s="9" t="s">
        <v>51</v>
      </c>
      <c r="B11" s="10" t="str">
        <f>IF(C11="*", SUMIF(Scoring!B2:B13, Rosters!D11, Scoring!M2:M13), "")</f>
        <v/>
      </c>
      <c r="C11" s="11"/>
      <c r="D11" s="9" t="s">
        <v>52</v>
      </c>
      <c r="E11" s="10" t="str">
        <f>IF(F11="*", SUMIF(Scoring!B14:B25, Rosters!G11, Scoring!M14:M25), "")</f>
        <v/>
      </c>
      <c r="F11" s="11"/>
      <c r="G11" s="9" t="s">
        <v>53</v>
      </c>
      <c r="H11" s="10">
        <f>IF(I11="*", SUMIF(Scoring!B26:B37, Rosters!J11, Scoring!M26:M37), "")</f>
        <v>3</v>
      </c>
      <c r="I11" s="11" t="s">
        <v>9</v>
      </c>
      <c r="J11" s="1" t="s">
        <v>54</v>
      </c>
      <c r="K11" s="10" t="str">
        <f>IF(L11="*", SUMIF(Scoring!B38:B49, Rosters!M11, Scoring!M38:M49), "")</f>
        <v/>
      </c>
      <c r="L11" s="11"/>
      <c r="M11" s="12" t="s">
        <v>55</v>
      </c>
      <c r="N11" s="10">
        <f>IF(O11="*", SUMIF(Scoring!B50:B61, Rosters!P11, Scoring!M50:M61), "")</f>
        <v>0</v>
      </c>
      <c r="O11" s="11" t="s">
        <v>9</v>
      </c>
      <c r="P11" s="1" t="s">
        <v>56</v>
      </c>
      <c r="Q11" s="10">
        <f>IF(R11="*", SUMIF(Scoring!B62:B73, Rosters!S11, Scoring!M62:M73), "")</f>
        <v>0</v>
      </c>
      <c r="R11" s="11" t="s">
        <v>9</v>
      </c>
      <c r="S11" s="5" t="s">
        <v>57</v>
      </c>
      <c r="T11" s="9"/>
      <c r="U11" s="9"/>
      <c r="V11" s="9"/>
      <c r="W11" s="3"/>
      <c r="X11" s="9"/>
      <c r="Y11" s="9"/>
      <c r="Z11" s="3"/>
    </row>
    <row r="12" ht="12.75" customHeight="1">
      <c r="A12" s="9"/>
      <c r="B12" s="10">
        <f>IF(C12="*", SUMIF(Scoring!B2:B13, Rosters!D12, Scoring!M2:M13), "")</f>
        <v>0</v>
      </c>
      <c r="C12" s="11" t="s">
        <v>9</v>
      </c>
      <c r="D12" s="1" t="s">
        <v>58</v>
      </c>
      <c r="E12" s="10" t="str">
        <f>IF(F12="*", SUMIF(Scoring!B14:B25, Rosters!G12, Scoring!M14:M25), "")</f>
        <v/>
      </c>
      <c r="F12" s="11"/>
      <c r="G12" s="9" t="s">
        <v>59</v>
      </c>
      <c r="H12" s="10" t="str">
        <f>IF(I12="*", SUMIF(Scoring!B26:B37, Rosters!J12, Scoring!M26:M37), "")</f>
        <v/>
      </c>
      <c r="I12" s="11"/>
      <c r="J12" s="12" t="s">
        <v>60</v>
      </c>
      <c r="K12" s="10" t="str">
        <f>IF(L12="*", SUMIF(Scoring!B38:B49, Rosters!M12, Scoring!M38:M49), "")</f>
        <v/>
      </c>
      <c r="L12" s="11"/>
      <c r="M12" s="9" t="s">
        <v>61</v>
      </c>
      <c r="N12" s="10">
        <f>IF(O12="*", SUMIF(Scoring!B50:B61, Rosters!P12, Scoring!M50:M61), "")</f>
        <v>0</v>
      </c>
      <c r="O12" s="11" t="s">
        <v>9</v>
      </c>
      <c r="P12" s="1" t="s">
        <v>62</v>
      </c>
      <c r="Q12" s="10">
        <f>IF(R12="*", SUMIF(Scoring!B62:B73, Rosters!S12, Scoring!M62:M73), "")</f>
        <v>14</v>
      </c>
      <c r="R12" s="11" t="s">
        <v>9</v>
      </c>
      <c r="S12" s="1" t="s">
        <v>63</v>
      </c>
      <c r="T12" s="9"/>
      <c r="U12" s="9"/>
      <c r="V12" s="9"/>
      <c r="W12" s="3"/>
      <c r="X12" s="9"/>
      <c r="Y12" s="9"/>
      <c r="Z12" s="3"/>
    </row>
    <row r="13" ht="12.75" customHeight="1">
      <c r="A13" s="9"/>
      <c r="B13" s="10">
        <f>IF(C13="*", SUMIF(Scoring!B2:B13, Rosters!D13, Scoring!M2:M13), "")</f>
        <v>12</v>
      </c>
      <c r="C13" s="11" t="s">
        <v>9</v>
      </c>
      <c r="D13" s="5" t="s">
        <v>64</v>
      </c>
      <c r="E13" s="10">
        <f>IF(F13="*", SUMIF(Scoring!B14:B25, Rosters!G13, Scoring!M14:M25), "")</f>
        <v>8</v>
      </c>
      <c r="F13" s="11" t="s">
        <v>9</v>
      </c>
      <c r="G13" s="4" t="s">
        <v>65</v>
      </c>
      <c r="H13" s="10" t="str">
        <f>IF(I13="*", SUMIF(Scoring!B26:B37, Rosters!J13, Scoring!M26:M37), "")</f>
        <v/>
      </c>
      <c r="I13" s="11"/>
      <c r="J13" s="12" t="s">
        <v>66</v>
      </c>
      <c r="K13" s="10">
        <f>IF(L13="*", SUMIF(Scoring!B38:B49, Rosters!M13, Scoring!M38:M49), "")</f>
        <v>0</v>
      </c>
      <c r="L13" s="11" t="s">
        <v>9</v>
      </c>
      <c r="M13" s="1" t="s">
        <v>67</v>
      </c>
      <c r="N13" s="10" t="str">
        <f>IF(O13="*", SUMIF(Scoring!B50:B61, Rosters!P13, Scoring!M50:M61), "")</f>
        <v/>
      </c>
      <c r="O13" s="11"/>
      <c r="P13" s="12" t="s">
        <v>68</v>
      </c>
      <c r="Q13" s="10" t="str">
        <f>IF(R13="*", SUMIF(Scoring!B62:B73, Rosters!S13, Scoring!M62:M73), "")</f>
        <v/>
      </c>
      <c r="R13" s="11"/>
      <c r="S13" s="17" t="s">
        <v>69</v>
      </c>
      <c r="T13" s="9"/>
      <c r="U13" s="9"/>
      <c r="V13" s="7"/>
      <c r="W13" s="8"/>
      <c r="X13" s="7"/>
      <c r="Y13" s="7"/>
      <c r="Z13" s="8"/>
    </row>
    <row r="14" ht="12.75" customHeight="1">
      <c r="A14" s="9"/>
      <c r="B14" s="10" t="str">
        <f>IF(C14="*", SUMIF(Scoring!B2:B13, Rosters!D14, Scoring!M2:M13), "")</f>
        <v/>
      </c>
      <c r="C14" s="11"/>
      <c r="D14" s="12" t="s">
        <v>70</v>
      </c>
      <c r="E14" s="10">
        <f>IF(F14="*", SUMIF(Scoring!B14:B25, Rosters!G14, Scoring!M14:M25), "")</f>
        <v>6</v>
      </c>
      <c r="F14" s="11" t="s">
        <v>9</v>
      </c>
      <c r="G14" s="5" t="s">
        <v>71</v>
      </c>
      <c r="H14" s="10">
        <f>IF(I14="*", SUMIF(Scoring!B26:B37, Rosters!J14, Scoring!M26:M37), "")</f>
        <v>0</v>
      </c>
      <c r="I14" s="11" t="s">
        <v>9</v>
      </c>
      <c r="J14" s="5" t="s">
        <v>72</v>
      </c>
      <c r="K14" s="10">
        <f>IF(L14="*", SUMIF(Scoring!B38:B49, Rosters!M14, Scoring!M38:M49), "")</f>
        <v>0</v>
      </c>
      <c r="L14" s="11" t="s">
        <v>9</v>
      </c>
      <c r="M14" s="5" t="s">
        <v>73</v>
      </c>
      <c r="N14" s="10" t="str">
        <f>IF(O14="*", SUMIF(Scoring!B50:B61, Rosters!P14, Scoring!M50:M61), "")</f>
        <v/>
      </c>
      <c r="O14" s="11"/>
      <c r="P14" s="12" t="s">
        <v>74</v>
      </c>
      <c r="Q14" s="10" t="str">
        <f>IF(R14="*", SUMIF(Scoring!B62:B73, Rosters!S14, Scoring!M62:M73), "")</f>
        <v/>
      </c>
      <c r="R14" s="11"/>
      <c r="S14" s="12" t="s">
        <v>75</v>
      </c>
      <c r="T14" s="9"/>
      <c r="U14" s="9"/>
      <c r="V14" s="9"/>
      <c r="W14" s="3"/>
      <c r="X14" s="9"/>
      <c r="Y14" s="9"/>
      <c r="Z14" s="3"/>
    </row>
    <row r="15" ht="12.75" customHeight="1">
      <c r="A15" s="9"/>
      <c r="B15" s="10"/>
      <c r="C15" s="3"/>
      <c r="D15" s="9"/>
      <c r="E15" s="10"/>
      <c r="F15" s="3"/>
      <c r="G15" s="9"/>
      <c r="H15" s="10" t="str">
        <f>IF(I15="*", SUMIF(Scoring!B26:B37, Rosters!J15, Scoring!M26:M37), "")</f>
        <v/>
      </c>
      <c r="I15" s="3"/>
      <c r="J15" s="9"/>
      <c r="K15" s="10"/>
      <c r="L15" s="3"/>
      <c r="M15" s="9"/>
      <c r="N15" s="10"/>
      <c r="O15" s="3"/>
      <c r="P15" s="9"/>
      <c r="Q15" s="10"/>
      <c r="R15" s="3"/>
      <c r="S15" s="9"/>
      <c r="T15" s="9"/>
      <c r="U15" s="9"/>
      <c r="V15" s="9"/>
      <c r="W15" s="3"/>
      <c r="X15" s="9"/>
      <c r="Y15" s="9"/>
      <c r="Z15" s="3"/>
    </row>
    <row r="16" ht="12.75" customHeight="1">
      <c r="A16" s="9" t="s">
        <v>76</v>
      </c>
      <c r="B16" s="10" t="str">
        <f>IF(C16="*", SUMIF(Scoring!B2:B13, Rosters!D16, Scoring!M2:M13), "")</f>
        <v/>
      </c>
      <c r="C16" s="11"/>
      <c r="D16" s="9" t="s">
        <v>77</v>
      </c>
      <c r="E16" s="10" t="str">
        <f>IF(F16="*", SUMIF(Scoring!B14:B25, Rosters!G16, Scoring!M14:M25), "")</f>
        <v/>
      </c>
      <c r="F16" s="11"/>
      <c r="G16" s="12" t="s">
        <v>78</v>
      </c>
      <c r="H16" s="10" t="str">
        <f>IF(I16="*", SUMIF(Scoring!B26:B37, Rosters!J16, Scoring!M26:M37), "")</f>
        <v/>
      </c>
      <c r="I16" s="11"/>
      <c r="J16" s="9" t="s">
        <v>79</v>
      </c>
      <c r="K16" s="10">
        <f>IF(L16="*", SUMIF(Scoring!B38:B49, Rosters!M16, Scoring!M38:M49), "")</f>
        <v>6</v>
      </c>
      <c r="L16" s="11" t="s">
        <v>9</v>
      </c>
      <c r="M16" s="1" t="s">
        <v>80</v>
      </c>
      <c r="N16" s="10" t="str">
        <f>IF(O16="*", SUMIF(Scoring!B50:B61, Rosters!P16, Scoring!M50:M61), "")</f>
        <v/>
      </c>
      <c r="O16" s="11"/>
      <c r="P16" s="12" t="s">
        <v>81</v>
      </c>
      <c r="Q16" s="10">
        <f>IF(R16="*", SUMIF(Scoring!B62:B73, Rosters!S16, Scoring!M62:M73), "")</f>
        <v>0</v>
      </c>
      <c r="R16" s="11" t="s">
        <v>9</v>
      </c>
      <c r="S16" s="1" t="s">
        <v>82</v>
      </c>
      <c r="T16" s="9"/>
      <c r="U16" s="9"/>
      <c r="V16" s="9"/>
      <c r="W16" s="3"/>
      <c r="X16" s="9"/>
      <c r="Y16" s="9"/>
      <c r="Z16" s="3"/>
    </row>
    <row r="17" ht="12.75" customHeight="1">
      <c r="A17" s="9"/>
      <c r="B17" s="10" t="str">
        <f>IF(C17="*", SUMIF(Scoring!B2:B13, Rosters!D17, Scoring!M2:M13), "")</f>
        <v/>
      </c>
      <c r="C17" s="11"/>
      <c r="D17" s="12" t="s">
        <v>83</v>
      </c>
      <c r="E17" s="10">
        <f>IF(F17="*", SUMIF(Scoring!B14:B25, Rosters!G17, Scoring!M14:M25), "")</f>
        <v>0</v>
      </c>
      <c r="F17" s="11" t="s">
        <v>9</v>
      </c>
      <c r="G17" s="1" t="s">
        <v>84</v>
      </c>
      <c r="H17" s="10">
        <f>IF(I17="*", SUMIF(Scoring!B26:B37, Rosters!J17, Scoring!M26:M37), "")</f>
        <v>0</v>
      </c>
      <c r="I17" s="11" t="s">
        <v>9</v>
      </c>
      <c r="J17" s="1" t="s">
        <v>85</v>
      </c>
      <c r="K17" s="10" t="str">
        <f>IF(L17="*", SUMIF(Scoring!B38:B49, Rosters!M17, Scoring!M38:M49), "")</f>
        <v/>
      </c>
      <c r="L17" s="11"/>
      <c r="M17" s="12" t="s">
        <v>86</v>
      </c>
      <c r="N17" s="10" t="str">
        <f>IF(O17="*", SUMIF(Scoring!B50:B61, Rosters!P17, Scoring!M50:M61), "")</f>
        <v/>
      </c>
      <c r="O17" s="11"/>
      <c r="P17" s="9" t="s">
        <v>87</v>
      </c>
      <c r="Q17" s="10" t="str">
        <f>IF(R17="*", SUMIF(Scoring!B62:B73, Rosters!S17, Scoring!M62:M73), "")</f>
        <v/>
      </c>
      <c r="R17" s="11"/>
      <c r="S17" s="12" t="s">
        <v>88</v>
      </c>
      <c r="T17" s="9"/>
      <c r="U17" s="9"/>
      <c r="V17" s="9"/>
      <c r="W17" s="3"/>
      <c r="X17" s="9"/>
      <c r="Y17" s="9"/>
      <c r="Z17" s="3"/>
    </row>
    <row r="18" ht="12.75" customHeight="1">
      <c r="A18" s="9"/>
      <c r="B18" s="10">
        <f>IF(C18="*", SUMIF(Scoring!B2:B13, Rosters!D18, Scoring!M2:M13), "")</f>
        <v>0</v>
      </c>
      <c r="C18" s="11" t="s">
        <v>9</v>
      </c>
      <c r="D18" s="5" t="s">
        <v>89</v>
      </c>
      <c r="E18" s="10" t="str">
        <f>IF(F18="*", SUMIF(Scoring!B14:B25, Rosters!G18, Scoring!M14:M25), "")</f>
        <v/>
      </c>
      <c r="F18" s="11"/>
      <c r="G18" s="12" t="s">
        <v>90</v>
      </c>
      <c r="H18" s="10" t="str">
        <f>IF(I18="*", SUMIF(Scoring!B26:B37, Rosters!J18, Scoring!M26:M37), "")</f>
        <v/>
      </c>
      <c r="I18" s="11"/>
      <c r="J18" s="12" t="s">
        <v>91</v>
      </c>
      <c r="K18" s="10" t="str">
        <f>IF(L18="*", SUMIF(Scoring!B38:B49, Rosters!M18, Scoring!M38:M49), "")</f>
        <v/>
      </c>
      <c r="L18" s="11"/>
      <c r="M18" s="9" t="s">
        <v>92</v>
      </c>
      <c r="N18" s="10">
        <f>IF(O18="*", SUMIF(Scoring!B50:B61, Rosters!P18, Scoring!M50:M61), "")</f>
        <v>6</v>
      </c>
      <c r="O18" s="11" t="s">
        <v>9</v>
      </c>
      <c r="P18" s="5" t="s">
        <v>93</v>
      </c>
      <c r="Q18" s="10" t="str">
        <f>IF(R18="*", SUMIF(Scoring!B62:B73, Rosters!S18, Scoring!M62:M73), "")</f>
        <v/>
      </c>
      <c r="R18" s="14"/>
      <c r="S18" s="12" t="s">
        <v>94</v>
      </c>
      <c r="T18" s="9"/>
      <c r="U18" s="9"/>
      <c r="V18" s="9"/>
      <c r="W18" s="3"/>
      <c r="X18" s="9"/>
      <c r="Y18" s="9"/>
      <c r="Z18" s="3"/>
    </row>
    <row r="19" ht="12.75" customHeight="1">
      <c r="A19" s="9"/>
      <c r="B19" s="10"/>
      <c r="C19" s="3"/>
      <c r="D19" s="9"/>
      <c r="E19" s="10"/>
      <c r="F19" s="3"/>
      <c r="G19" s="9"/>
      <c r="H19" s="10" t="str">
        <f>IF(I19="*", SUMIF(Scoring!B26:B37, Rosters!J19, Scoring!M26:M37), "")</f>
        <v/>
      </c>
      <c r="I19" s="3"/>
      <c r="J19" s="9" t="s">
        <v>95</v>
      </c>
      <c r="K19" s="10"/>
      <c r="L19" s="3"/>
      <c r="M19" s="9"/>
      <c r="N19" s="10"/>
      <c r="O19" s="3"/>
      <c r="P19" s="9"/>
      <c r="Q19" s="10"/>
      <c r="R19" s="3"/>
      <c r="S19" s="9"/>
      <c r="T19" s="9"/>
      <c r="U19" s="9"/>
      <c r="V19" s="9"/>
      <c r="W19" s="3"/>
      <c r="X19" s="9"/>
      <c r="Y19" s="9"/>
      <c r="Z19" s="3"/>
    </row>
    <row r="20" ht="12.75" customHeight="1">
      <c r="A20" s="9" t="s">
        <v>96</v>
      </c>
      <c r="B20" s="10">
        <f>IF(C20="*", SUMIF(Scoring!B2:B13, Rosters!D20, Scoring!M2:M13), "")</f>
        <v>0</v>
      </c>
      <c r="C20" s="11" t="s">
        <v>9</v>
      </c>
      <c r="D20" s="5" t="s">
        <v>97</v>
      </c>
      <c r="E20" s="10">
        <f>IF(F20="*", SUMIF(Scoring!B14:B25, Rosters!G20, Scoring!M14:M25), "")</f>
        <v>8</v>
      </c>
      <c r="F20" s="11" t="s">
        <v>9</v>
      </c>
      <c r="G20" s="5" t="s">
        <v>98</v>
      </c>
      <c r="H20" s="10">
        <f>IF(I20="*", SUMIF(Scoring!B26:B37, Rosters!J20, Scoring!M26:M37), "")</f>
        <v>8</v>
      </c>
      <c r="I20" s="11" t="s">
        <v>9</v>
      </c>
      <c r="J20" s="1" t="s">
        <v>99</v>
      </c>
      <c r="K20" s="10">
        <f>IF(L20="*", SUMIF(Scoring!B38:B49, Rosters!M20, Scoring!M38:M49), "")</f>
        <v>1</v>
      </c>
      <c r="L20" s="11" t="s">
        <v>9</v>
      </c>
      <c r="M20" s="5" t="s">
        <v>100</v>
      </c>
      <c r="N20" s="10">
        <f>IF(O20="*", SUMIF(Scoring!B50:B61, Rosters!P20, Scoring!M50:M61), "")</f>
        <v>2</v>
      </c>
      <c r="O20" s="11" t="s">
        <v>9</v>
      </c>
      <c r="P20" s="1" t="s">
        <v>101</v>
      </c>
      <c r="Q20" s="10" t="str">
        <f>IF(R20="*", SUMIF(Scoring!B62:B73, Rosters!S20, Scoring!M62:M73), "")</f>
        <v/>
      </c>
      <c r="R20" s="11"/>
      <c r="S20" s="12" t="s">
        <v>102</v>
      </c>
      <c r="T20" s="9"/>
      <c r="U20" s="9"/>
      <c r="V20" s="9"/>
      <c r="W20" s="3"/>
      <c r="X20" s="9"/>
      <c r="Y20" s="9"/>
      <c r="Z20" s="3"/>
    </row>
    <row r="21" ht="12.75" customHeight="1">
      <c r="A21" s="9"/>
      <c r="B21" s="10" t="str">
        <f>IF(C21="*", SUMIF(Scoring!B2:B13, Rosters!D21, Scoring!M2:M13), "")</f>
        <v/>
      </c>
      <c r="C21" s="11"/>
      <c r="D21" s="9" t="s">
        <v>103</v>
      </c>
      <c r="E21" s="10" t="str">
        <f>IF(F21="*", SUMIF(Scoring!B14:B25, Rosters!G21, Scoring!M14:M25), "")</f>
        <v/>
      </c>
      <c r="F21" s="11"/>
      <c r="G21" s="12" t="s">
        <v>104</v>
      </c>
      <c r="H21" s="10" t="str">
        <f>IF(I21="*", SUMIF(Scoring!B26:B37, Rosters!J21, Scoring!M26:M37), "")</f>
        <v/>
      </c>
      <c r="I21" s="11"/>
      <c r="J21" s="9" t="s">
        <v>105</v>
      </c>
      <c r="K21" s="10" t="str">
        <f>IF(L21="*", SUMIF(Scoring!B38:B49, Rosters!M21, Scoring!M38:M49), "")</f>
        <v/>
      </c>
      <c r="L21" s="11"/>
      <c r="M21" s="9" t="s">
        <v>106</v>
      </c>
      <c r="N21" s="10" t="str">
        <f>IF(O21="*", SUMIF(Scoring!B50:B61, Rosters!P21, Scoring!M50:M61), "")</f>
        <v/>
      </c>
      <c r="O21" s="11"/>
      <c r="P21" s="18" t="s">
        <v>107</v>
      </c>
      <c r="Q21" s="10">
        <f>IF(R21="*", SUMIF(Scoring!B62:B73, Rosters!S21, Scoring!M62:M73), "")</f>
        <v>15</v>
      </c>
      <c r="R21" s="11" t="s">
        <v>9</v>
      </c>
      <c r="S21" s="1" t="s">
        <v>108</v>
      </c>
      <c r="T21" s="9"/>
      <c r="U21" s="9"/>
      <c r="V21" s="9"/>
      <c r="W21" s="3"/>
      <c r="X21" s="9"/>
      <c r="Y21" s="9"/>
      <c r="Z21" s="3"/>
    </row>
    <row r="22" ht="12.75" customHeight="1">
      <c r="A22" s="9"/>
      <c r="B22" s="10"/>
      <c r="C22" s="3"/>
      <c r="D22" s="9"/>
      <c r="E22" s="10"/>
      <c r="F22" s="3"/>
      <c r="G22" s="9"/>
      <c r="H22" s="10" t="str">
        <f>IF(I22="*", SUMIF(Scoring!B26:B37, Rosters!J22, Scoring!M26:M37), "")</f>
        <v/>
      </c>
      <c r="I22" s="3"/>
      <c r="J22" s="9"/>
      <c r="K22" s="10"/>
      <c r="L22" s="3"/>
      <c r="M22" s="9"/>
      <c r="N22" s="10"/>
      <c r="O22" s="3"/>
      <c r="P22" s="9"/>
      <c r="Q22" s="10"/>
      <c r="R22" s="3"/>
      <c r="S22" s="9"/>
      <c r="T22" s="9"/>
      <c r="U22" s="9"/>
      <c r="V22" s="9"/>
      <c r="W22" s="3"/>
      <c r="X22" s="9"/>
      <c r="Y22" s="9"/>
      <c r="Z22" s="3"/>
    </row>
    <row r="23" ht="12.75" customHeight="1">
      <c r="A23" s="9" t="s">
        <v>109</v>
      </c>
      <c r="B23" s="10" t="str">
        <f>IF(C23="*", SUMIF(Scoring!B2:B13, Rosters!D23, Scoring!M2:M13), "")</f>
        <v/>
      </c>
      <c r="C23" s="11"/>
      <c r="D23" s="9" t="s">
        <v>110</v>
      </c>
      <c r="E23" s="10">
        <f>IF(F23="*", SUMIF(Scoring!B14:B25, Rosters!G23, Scoring!M14:M25), "")</f>
        <v>3</v>
      </c>
      <c r="F23" s="11" t="s">
        <v>9</v>
      </c>
      <c r="G23" s="5" t="s">
        <v>111</v>
      </c>
      <c r="H23" s="10">
        <f>IF(I23="*", SUMIF(Scoring!B26:B37, Rosters!J23, Scoring!M26:M37), "")</f>
        <v>13</v>
      </c>
      <c r="I23" s="11" t="s">
        <v>9</v>
      </c>
      <c r="J23" s="1" t="s">
        <v>112</v>
      </c>
      <c r="K23" s="10">
        <f>IF(L23="*", SUMIF(Scoring!B38:B49, Rosters!M23, Scoring!M38:M49), "")</f>
        <v>0</v>
      </c>
      <c r="L23" s="11" t="s">
        <v>9</v>
      </c>
      <c r="M23" s="1" t="s">
        <v>113</v>
      </c>
      <c r="N23" s="10" t="str">
        <f>IF(O23="*", SUMIF(Scoring!B50:B61, Rosters!P23, Scoring!M50:M61), "")</f>
        <v/>
      </c>
      <c r="O23" s="11"/>
      <c r="P23" s="9" t="s">
        <v>114</v>
      </c>
      <c r="Q23" s="10" t="str">
        <f>IF(R23="*", SUMIF(Scoring!B62:B73, Rosters!S23, Scoring!M62:M73), "")</f>
        <v/>
      </c>
      <c r="R23" s="11"/>
      <c r="S23" s="12" t="s">
        <v>115</v>
      </c>
      <c r="T23" s="9"/>
      <c r="U23" s="9"/>
      <c r="V23" s="9"/>
      <c r="W23" s="3"/>
      <c r="X23" s="9"/>
      <c r="Y23" s="9"/>
      <c r="Z23" s="3"/>
    </row>
    <row r="24" ht="12.75" customHeight="1">
      <c r="A24" s="9"/>
      <c r="B24" s="10">
        <f>IF(C24="*", SUMIF(Scoring!B2:B13, Rosters!D24, Scoring!M2:M13), "")</f>
        <v>4</v>
      </c>
      <c r="C24" s="11" t="s">
        <v>9</v>
      </c>
      <c r="D24" s="1" t="s">
        <v>116</v>
      </c>
      <c r="E24" s="10" t="str">
        <f>IF(F24="*", SUMIF(Scoring!B14:B25, Rosters!G24, Scoring!M14:M25), "")</f>
        <v/>
      </c>
      <c r="F24" s="11"/>
      <c r="G24" s="12" t="s">
        <v>117</v>
      </c>
      <c r="H24" s="10" t="str">
        <f>IF(I24="*", SUMIF(Scoring!B26:B37, Rosters!J24, Scoring!M26:M37), "")</f>
        <v/>
      </c>
      <c r="I24" s="11"/>
      <c r="J24" s="9" t="s">
        <v>118</v>
      </c>
      <c r="K24" s="10" t="str">
        <f>IF(L24="*", SUMIF(Scoring!B38:B49, Rosters!M24, Scoring!M38:M49), "")</f>
        <v/>
      </c>
      <c r="L24" s="11"/>
      <c r="M24" s="12" t="s">
        <v>119</v>
      </c>
      <c r="N24" s="10">
        <f>IF(O24="*", SUMIF(Scoring!B50:B61, Rosters!P24, Scoring!M50:M61), "")</f>
        <v>6</v>
      </c>
      <c r="O24" s="11" t="s">
        <v>9</v>
      </c>
      <c r="P24" s="1" t="s">
        <v>120</v>
      </c>
      <c r="Q24" s="10">
        <f>IF(R24="*", SUMIF(Scoring!B62:B73, Rosters!S24, Scoring!M62:M73), "")</f>
        <v>26</v>
      </c>
      <c r="R24" s="11" t="s">
        <v>9</v>
      </c>
      <c r="S24" s="5" t="s">
        <v>121</v>
      </c>
      <c r="T24" s="9"/>
      <c r="U24" s="9"/>
      <c r="V24" s="9"/>
      <c r="W24" s="3"/>
      <c r="X24" s="9"/>
      <c r="Y24" s="9"/>
      <c r="Z24" s="3"/>
    </row>
    <row r="25" ht="12.75" customHeight="1">
      <c r="A25" s="9"/>
      <c r="B25" s="10"/>
      <c r="C25" s="3"/>
      <c r="D25" s="9"/>
      <c r="E25" s="10"/>
      <c r="F25" s="3"/>
      <c r="G25" s="9"/>
      <c r="H25" s="10" t="str">
        <f>IF(I25="*", SUMIF(Scoring!B26:B37, Rosters!J25, Scoring!M26:M37), "")</f>
        <v/>
      </c>
      <c r="I25" s="3"/>
      <c r="J25" s="9"/>
      <c r="K25" s="10"/>
      <c r="L25" s="3"/>
      <c r="M25" s="9"/>
      <c r="N25" s="10"/>
      <c r="O25" s="3"/>
      <c r="P25" s="9"/>
      <c r="Q25" s="10"/>
      <c r="R25" s="3"/>
      <c r="S25" s="9"/>
      <c r="T25" s="9"/>
      <c r="U25" s="9"/>
      <c r="V25" s="7"/>
      <c r="W25" s="8"/>
      <c r="X25" s="7"/>
      <c r="Y25" s="7"/>
      <c r="Z25" s="8"/>
    </row>
    <row r="26" ht="12.75" customHeight="1">
      <c r="A26" s="9" t="s">
        <v>122</v>
      </c>
      <c r="B26" s="10">
        <f>IF(C26="*", SUMIF(Scoring!B2:B13, Rosters!D26, Scoring!M2:M13), "")</f>
        <v>0</v>
      </c>
      <c r="C26" s="11" t="s">
        <v>9</v>
      </c>
      <c r="D26" s="5" t="s">
        <v>123</v>
      </c>
      <c r="E26" s="10">
        <f>IF(F26="*", SUMIF(Scoring!B14:B25, Rosters!G26, Scoring!M14:M25), "")</f>
        <v>0</v>
      </c>
      <c r="F26" s="11" t="s">
        <v>9</v>
      </c>
      <c r="G26" s="5" t="s">
        <v>124</v>
      </c>
      <c r="H26" s="10">
        <f>IF(I26="*", SUMIF(Scoring!B26:B37, Rosters!J26, Scoring!M26:M37), "")</f>
        <v>0</v>
      </c>
      <c r="I26" s="11" t="s">
        <v>9</v>
      </c>
      <c r="J26" s="1" t="s">
        <v>125</v>
      </c>
      <c r="K26" s="10">
        <f>IF(L26="*", SUMIF(Scoring!B38:B49, Rosters!M26, Scoring!M38:M49), "")</f>
        <v>5</v>
      </c>
      <c r="L26" s="11" t="s">
        <v>9</v>
      </c>
      <c r="M26" s="1" t="s">
        <v>126</v>
      </c>
      <c r="N26" s="10" t="str">
        <f>IF(O26="*", SUMIF(Scoring!B50:B61, Rosters!P26, Scoring!M50:M61), "")</f>
        <v/>
      </c>
      <c r="O26" s="11"/>
      <c r="P26" s="9" t="s">
        <v>127</v>
      </c>
      <c r="Q26" s="10" t="str">
        <f>IF(R26="*", SUMIF(Scoring!B62:B73, Rosters!S26, Scoring!M62:M73), "")</f>
        <v/>
      </c>
      <c r="R26" s="11"/>
      <c r="S26" s="12" t="s">
        <v>128</v>
      </c>
      <c r="T26" s="9"/>
      <c r="U26" s="9"/>
      <c r="V26" s="9"/>
      <c r="W26" s="3"/>
      <c r="X26" s="9"/>
      <c r="Y26" s="9"/>
      <c r="Z26" s="3"/>
    </row>
    <row r="27" ht="12.75" customHeight="1">
      <c r="A27" s="9"/>
      <c r="B27" s="10" t="str">
        <f>IF(C27="*", SUMIF(Scoring!B2:B13, Rosters!D27, Scoring!M2:M13), "")</f>
        <v/>
      </c>
      <c r="C27" s="11"/>
      <c r="D27" s="9" t="s">
        <v>129</v>
      </c>
      <c r="E27" s="10" t="str">
        <f>IF(F27="*", SUMIF(Scoring!B14:B25, Rosters!G27, Scoring!M14:M25), "")</f>
        <v/>
      </c>
      <c r="F27" s="11"/>
      <c r="G27" s="9" t="s">
        <v>130</v>
      </c>
      <c r="H27" s="10" t="str">
        <f>IF(I27="*", SUMIF(Scoring!B26:B37, Rosters!J27, Scoring!M26:M37), "")</f>
        <v/>
      </c>
      <c r="I27" s="11"/>
      <c r="J27" s="12" t="s">
        <v>131</v>
      </c>
      <c r="K27" s="10" t="str">
        <f>IF(L27="*", SUMIF(Scoring!B38:B49, Rosters!M27, Scoring!M38:M49), "")</f>
        <v/>
      </c>
      <c r="L27" s="11"/>
      <c r="M27" s="9" t="s">
        <v>132</v>
      </c>
      <c r="N27" s="10">
        <f>IF(O27="*", SUMIF(Scoring!B50:B61, Rosters!P27, Scoring!M50:M61), "")</f>
        <v>4</v>
      </c>
      <c r="O27" s="11" t="s">
        <v>9</v>
      </c>
      <c r="P27" s="5" t="s">
        <v>133</v>
      </c>
      <c r="Q27" s="10">
        <f>IF(R27="*", SUMIF(Scoring!B62:B73, Rosters!S27, Scoring!M62:M73), "")</f>
        <v>4</v>
      </c>
      <c r="R27" s="11" t="s">
        <v>9</v>
      </c>
      <c r="S27" s="1" t="s">
        <v>134</v>
      </c>
      <c r="T27" s="9"/>
      <c r="U27" s="9"/>
      <c r="V27" s="9"/>
      <c r="W27" s="3"/>
      <c r="X27" s="9"/>
      <c r="Y27" s="9"/>
      <c r="Z27" s="3"/>
    </row>
    <row r="28" ht="12.75" customHeight="1">
      <c r="A28" s="9"/>
      <c r="B28" s="2"/>
      <c r="C28" s="3"/>
      <c r="D28" s="9"/>
      <c r="E28" s="10"/>
      <c r="F28" s="3"/>
      <c r="G28" s="9"/>
      <c r="H28" s="10"/>
      <c r="I28" s="3"/>
      <c r="J28" s="9"/>
      <c r="K28" s="10"/>
      <c r="L28" s="3"/>
      <c r="M28" s="9"/>
      <c r="N28" s="10"/>
      <c r="O28" s="3"/>
      <c r="P28" s="18" t="s">
        <v>95</v>
      </c>
      <c r="Q28" s="10"/>
      <c r="R28" s="3"/>
      <c r="S28" s="9"/>
      <c r="T28" s="9"/>
      <c r="U28" s="9"/>
      <c r="V28" s="9"/>
      <c r="W28" s="3"/>
      <c r="X28" s="9"/>
      <c r="Y28" s="9"/>
      <c r="Z28" s="3"/>
    </row>
    <row r="29" ht="12.75" customHeight="1">
      <c r="A29" s="19"/>
      <c r="B29" s="20"/>
      <c r="C29" s="21"/>
      <c r="D29" s="22">
        <f>SUM(B2:B28)</f>
        <v>56</v>
      </c>
      <c r="E29" s="20"/>
      <c r="F29" s="21"/>
      <c r="G29" s="22">
        <f>SUM(E2:E28)</f>
        <v>25</v>
      </c>
      <c r="H29" s="20"/>
      <c r="I29" s="21"/>
      <c r="J29" s="23">
        <f>SUM(H2:H28)</f>
        <v>47</v>
      </c>
      <c r="K29" s="20"/>
      <c r="L29" s="21"/>
      <c r="M29" s="22">
        <f>SUM(K2:K28)</f>
        <v>34</v>
      </c>
      <c r="N29" s="20"/>
      <c r="O29" s="21"/>
      <c r="P29" s="22">
        <f>SUM(N2:N28)</f>
        <v>35</v>
      </c>
      <c r="Q29" s="20"/>
      <c r="R29" s="21"/>
      <c r="S29" s="22">
        <f>SUM(Q2:Q28)</f>
        <v>75</v>
      </c>
      <c r="T29" s="19"/>
      <c r="U29" s="19"/>
      <c r="V29" s="24"/>
      <c r="W29" s="3"/>
      <c r="X29" s="24"/>
      <c r="Y29" s="24"/>
      <c r="Z29" s="3"/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6"/>
      <c r="S30" s="9"/>
      <c r="T30" s="9"/>
      <c r="U30" s="9"/>
      <c r="V30" s="9"/>
      <c r="W30" s="3"/>
      <c r="X30" s="9"/>
      <c r="Y30" s="9"/>
      <c r="Z30" s="3"/>
    </row>
    <row r="31" ht="12.75" customHeight="1">
      <c r="A31" s="9" t="s">
        <v>135</v>
      </c>
      <c r="B31" s="2"/>
      <c r="C31" s="3"/>
      <c r="D31" s="9" t="s">
        <v>136</v>
      </c>
      <c r="E31" s="2"/>
      <c r="F31" s="6"/>
      <c r="G31" s="9" t="s">
        <v>137</v>
      </c>
      <c r="H31" s="2"/>
      <c r="I31" s="6"/>
      <c r="J31" s="9" t="s">
        <v>138</v>
      </c>
      <c r="K31" s="2"/>
      <c r="L31" s="6"/>
      <c r="M31" s="9" t="s">
        <v>139</v>
      </c>
      <c r="N31" s="2"/>
      <c r="O31" s="6"/>
      <c r="P31" s="9" t="s">
        <v>140</v>
      </c>
      <c r="Q31" s="2"/>
      <c r="R31" s="6"/>
      <c r="S31" s="9" t="s">
        <v>141</v>
      </c>
      <c r="T31" s="9"/>
      <c r="U31" s="9"/>
      <c r="V31" s="9"/>
      <c r="W31" s="3"/>
      <c r="X31" s="9"/>
      <c r="Y31" s="9"/>
      <c r="Z31" s="3"/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142</v>
      </c>
      <c r="Q32" s="2"/>
      <c r="R32" s="6"/>
      <c r="S32" s="9"/>
      <c r="T32" s="9"/>
      <c r="U32" s="9"/>
      <c r="V32" s="9"/>
      <c r="W32" s="3"/>
      <c r="X32" s="9"/>
      <c r="Y32" s="9"/>
      <c r="Z32" s="3"/>
    </row>
    <row r="33" ht="12.75" customHeight="1">
      <c r="A33" s="9"/>
      <c r="B33" s="2"/>
      <c r="C33" s="3"/>
      <c r="D33" s="25"/>
      <c r="E33" s="26"/>
      <c r="F33" s="26"/>
      <c r="G33" s="25"/>
      <c r="H33" s="26"/>
      <c r="I33" s="26"/>
      <c r="J33" s="25"/>
      <c r="K33" s="25"/>
      <c r="L33" s="26"/>
      <c r="M33" s="27"/>
      <c r="P33" s="25"/>
      <c r="R33" s="3"/>
      <c r="S33" s="27"/>
      <c r="T33" s="6"/>
      <c r="U33" s="26"/>
      <c r="V33" s="26"/>
      <c r="W33" s="3"/>
      <c r="X33" s="9"/>
      <c r="Y33" s="9"/>
      <c r="Z33" s="3"/>
    </row>
    <row r="34" ht="12.75" customHeight="1">
      <c r="A34" s="9" t="s">
        <v>143</v>
      </c>
      <c r="B34" s="9"/>
      <c r="C34" s="3"/>
      <c r="D34" s="27"/>
      <c r="E34" s="26"/>
      <c r="F34" s="26"/>
      <c r="G34" s="27"/>
      <c r="H34" s="26"/>
      <c r="I34" s="26"/>
      <c r="J34" s="27"/>
      <c r="K34" s="25"/>
      <c r="L34" s="26"/>
      <c r="M34" s="27"/>
      <c r="P34" s="27"/>
      <c r="R34" s="3"/>
      <c r="S34" s="27"/>
      <c r="T34" s="6"/>
      <c r="U34" s="26"/>
      <c r="V34" s="26"/>
      <c r="W34" s="3"/>
      <c r="X34" s="9"/>
      <c r="Y34" s="9"/>
      <c r="Z34" s="3"/>
    </row>
    <row r="35" ht="12.75" customHeight="1">
      <c r="A35" s="9"/>
      <c r="B35" s="9"/>
      <c r="C35" s="3"/>
      <c r="D35" s="18"/>
      <c r="E35" s="26"/>
      <c r="F35" s="26"/>
      <c r="G35" s="18"/>
      <c r="H35" s="26"/>
      <c r="I35" s="26"/>
      <c r="J35" s="27"/>
      <c r="K35" s="25"/>
      <c r="L35" s="26"/>
      <c r="M35" s="27"/>
      <c r="P35" s="27"/>
      <c r="R35" s="3"/>
      <c r="S35" s="27"/>
      <c r="T35" s="6"/>
      <c r="U35" s="9"/>
      <c r="V35" s="26"/>
      <c r="W35" s="3"/>
      <c r="X35" s="9"/>
      <c r="Y35" s="9"/>
      <c r="Z35" s="3"/>
    </row>
    <row r="36" ht="12.75" customHeight="1">
      <c r="A36" s="9"/>
      <c r="B36" s="2"/>
      <c r="C36" s="3"/>
      <c r="D36" s="18"/>
      <c r="E36" s="2"/>
      <c r="F36" s="6"/>
      <c r="G36" s="12"/>
      <c r="H36" s="2"/>
      <c r="I36" s="6"/>
      <c r="J36" s="27"/>
      <c r="K36" s="9"/>
      <c r="L36" s="6"/>
      <c r="M36" s="27"/>
      <c r="N36" s="26"/>
      <c r="O36" s="26"/>
      <c r="P36" s="27"/>
      <c r="Q36" s="26"/>
      <c r="R36" s="3"/>
      <c r="S36" s="27"/>
      <c r="T36" s="6"/>
      <c r="U36" s="6"/>
      <c r="V36" s="9"/>
      <c r="W36" s="3"/>
      <c r="X36" s="9"/>
      <c r="Y36" s="9"/>
      <c r="Z36" s="3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6"/>
      <c r="S37" s="9"/>
      <c r="T37" s="9"/>
      <c r="U37" s="9"/>
      <c r="V37" s="7"/>
      <c r="W37" s="8"/>
      <c r="X37" s="7"/>
      <c r="Y37" s="7"/>
      <c r="Z37" s="8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6"/>
      <c r="S38" s="9"/>
      <c r="T38" s="9"/>
      <c r="U38" s="9"/>
      <c r="V38" s="9"/>
      <c r="W38" s="3"/>
      <c r="X38" s="9"/>
      <c r="Y38" s="9"/>
      <c r="Z38" s="3"/>
    </row>
    <row r="39" ht="12.75" customHeight="1">
      <c r="A39" s="1" t="s">
        <v>144</v>
      </c>
      <c r="B39" s="2"/>
      <c r="C39" s="3"/>
      <c r="D39" s="4" t="s">
        <v>145</v>
      </c>
      <c r="E39" s="2"/>
      <c r="F39" s="1"/>
      <c r="G39" s="4" t="s">
        <v>146</v>
      </c>
      <c r="H39" s="2"/>
      <c r="I39" s="1"/>
      <c r="J39" s="4" t="s">
        <v>147</v>
      </c>
      <c r="K39" s="2"/>
      <c r="L39" s="1"/>
      <c r="M39" s="4" t="s">
        <v>148</v>
      </c>
      <c r="N39" s="2"/>
      <c r="O39" s="1"/>
      <c r="P39" s="5" t="s">
        <v>149</v>
      </c>
      <c r="Q39" s="2"/>
      <c r="R39" s="6"/>
      <c r="S39" s="4" t="s">
        <v>150</v>
      </c>
      <c r="T39" s="1"/>
      <c r="U39" s="1"/>
      <c r="V39" s="9"/>
      <c r="W39" s="3"/>
      <c r="X39" s="9"/>
      <c r="Y39" s="9"/>
      <c r="Z39" s="3"/>
    </row>
    <row r="40" ht="12.75" customHeight="1">
      <c r="A40" s="9" t="s">
        <v>6</v>
      </c>
      <c r="B40" s="10">
        <f>IF(C40="*", SUMIF(Scoring!B74:B85, Rosters!D40, Scoring!M74:M85), "")</f>
        <v>11</v>
      </c>
      <c r="C40" s="11" t="s">
        <v>9</v>
      </c>
      <c r="D40" s="1" t="s">
        <v>151</v>
      </c>
      <c r="E40" s="10">
        <f>IF(F40="*", SUMIF(Scoring!B86:B97, Rosters!G40, Scoring!M86:M97), "")</f>
        <v>16</v>
      </c>
      <c r="F40" s="11" t="s">
        <v>9</v>
      </c>
      <c r="G40" s="1" t="s">
        <v>152</v>
      </c>
      <c r="H40" s="10">
        <f>IF(I40="*", SUMIF(Scoring!B98:B109, Rosters!J40, Scoring!M98:M109), "")</f>
        <v>15</v>
      </c>
      <c r="I40" s="11" t="s">
        <v>9</v>
      </c>
      <c r="J40" s="1" t="s">
        <v>153</v>
      </c>
      <c r="K40" s="10">
        <f>IF(L40="*", SUMIF(Scoring!B110:B121, Rosters!M40, Scoring!M110:M121), "")</f>
        <v>0</v>
      </c>
      <c r="L40" s="11" t="s">
        <v>9</v>
      </c>
      <c r="M40" s="1" t="s">
        <v>154</v>
      </c>
      <c r="N40" s="10">
        <f>IF(O40="*", SUMIF(Scoring!B122:B133, Rosters!P40, Scoring!M122:M133), "")</f>
        <v>27</v>
      </c>
      <c r="O40" s="11" t="s">
        <v>9</v>
      </c>
      <c r="P40" s="1" t="s">
        <v>155</v>
      </c>
      <c r="Q40" s="10" t="str">
        <f>IF(R40="*", SUMIF(Scoring!B134:B145, Rosters!S40, Scoring!M134:M145), "")</f>
        <v/>
      </c>
      <c r="R40" s="11"/>
      <c r="S40" s="9" t="s">
        <v>156</v>
      </c>
      <c r="T40" s="9"/>
      <c r="U40" s="9"/>
      <c r="V40" s="9"/>
      <c r="W40" s="3"/>
      <c r="X40" s="9"/>
      <c r="Y40" s="9"/>
      <c r="Z40" s="3"/>
    </row>
    <row r="41" ht="12.75" customHeight="1">
      <c r="A41" s="9"/>
      <c r="B41" s="10" t="str">
        <f>IF(C41="*", SUMIF(Scoring!B74:B85, Rosters!D41, Scoring!M74:M85), "")</f>
        <v/>
      </c>
      <c r="C41" s="11"/>
      <c r="D41" s="9" t="s">
        <v>157</v>
      </c>
      <c r="E41" s="10" t="str">
        <f>IF(F41="*", SUMIF(Scoring!B86:B97, Rosters!G41, Scoring!M86:M97), "")</f>
        <v/>
      </c>
      <c r="F41" s="11"/>
      <c r="G41" s="9" t="s">
        <v>158</v>
      </c>
      <c r="H41" s="10" t="str">
        <f>IF(I41="*", SUMIF(Scoring!B98:B109, Rosters!J41, Scoring!M98:M109), "")</f>
        <v/>
      </c>
      <c r="I41" s="11"/>
      <c r="J41" s="12" t="s">
        <v>159</v>
      </c>
      <c r="K41" s="10" t="str">
        <f>IF(L41="*", SUMIF(Scoring!B110:B121, Rosters!M41, Scoring!M110:M121), "")</f>
        <v/>
      </c>
      <c r="L41" s="11"/>
      <c r="M41" s="9" t="s">
        <v>160</v>
      </c>
      <c r="N41" s="10" t="str">
        <f>IF(O41="*", SUMIF(Scoring!B122:B133, Rosters!P41, Scoring!M122:M133), "")</f>
        <v/>
      </c>
      <c r="O41" s="14"/>
      <c r="P41" s="12" t="s">
        <v>161</v>
      </c>
      <c r="Q41" s="10">
        <f>IF(R41="*", SUMIF(Scoring!B134:B145, Rosters!S41, Scoring!M134:M145), "")</f>
        <v>15</v>
      </c>
      <c r="R41" s="11" t="s">
        <v>9</v>
      </c>
      <c r="S41" s="1" t="s">
        <v>162</v>
      </c>
      <c r="T41" s="9"/>
      <c r="U41" s="9"/>
      <c r="V41" s="9"/>
      <c r="W41" s="3"/>
      <c r="X41" s="9"/>
      <c r="Y41" s="9"/>
      <c r="Z41" s="3"/>
    </row>
    <row r="42" ht="12.75" customHeight="1">
      <c r="A42" s="9"/>
      <c r="B42" s="10" t="str">
        <f>IF(C42="*", SUMIF(Scoring!B74:B85, Rosters!D42, Scoring!M74:M85), "")</f>
        <v/>
      </c>
      <c r="C42" s="11"/>
      <c r="D42" s="12" t="s">
        <v>163</v>
      </c>
      <c r="E42" s="10" t="str">
        <f>IF(F42="*", SUMIF(Scoring!B86:B97, Rosters!G42, Scoring!M86:M97), "")</f>
        <v/>
      </c>
      <c r="F42" s="11"/>
      <c r="G42" s="12" t="s">
        <v>164</v>
      </c>
      <c r="H42" s="10" t="str">
        <f>IF(I42="*", SUMIF(Scoring!B98:B109, Rosters!J42, Scoring!M98:M109), "")</f>
        <v/>
      </c>
      <c r="I42" s="14"/>
      <c r="J42" s="12" t="s">
        <v>165</v>
      </c>
      <c r="K42" s="10" t="str">
        <f>IF(L42="*", SUMIF(Scoring!B110:B121, Rosters!M42, Scoring!M110:M121), "")</f>
        <v/>
      </c>
      <c r="L42" s="11"/>
      <c r="M42" s="12" t="s">
        <v>166</v>
      </c>
      <c r="N42" s="10" t="str">
        <f>IF(O42="*", SUMIF(Scoring!B122:B133, Rosters!P42, Scoring!M122:M133), "")</f>
        <v/>
      </c>
      <c r="O42" s="11"/>
      <c r="P42" s="12" t="s">
        <v>167</v>
      </c>
      <c r="Q42" s="10" t="str">
        <f>IF(R42="*", SUMIF(Scoring!B134:B145, Rosters!S42, Scoring!M134:M145), "")</f>
        <v/>
      </c>
      <c r="R42" s="11"/>
      <c r="S42" s="12" t="s">
        <v>168</v>
      </c>
      <c r="T42" s="9"/>
      <c r="U42" s="9"/>
      <c r="V42" s="9"/>
      <c r="W42" s="3"/>
      <c r="X42" s="9"/>
      <c r="Y42" s="9"/>
      <c r="Z42" s="3"/>
    </row>
    <row r="43" ht="12.75" customHeight="1">
      <c r="A43" s="9"/>
      <c r="B43" s="10"/>
      <c r="C43" s="3"/>
      <c r="D43" s="9"/>
      <c r="E43" s="10"/>
      <c r="F43" s="3"/>
      <c r="G43" s="9"/>
      <c r="H43" s="10"/>
      <c r="I43" s="3"/>
      <c r="J43" s="9"/>
      <c r="K43" s="10"/>
      <c r="L43" s="3"/>
      <c r="M43" s="9"/>
      <c r="N43" s="10"/>
      <c r="O43" s="3"/>
      <c r="P43" s="9"/>
      <c r="Q43" s="10"/>
      <c r="R43" s="3"/>
      <c r="S43" s="9"/>
      <c r="T43" s="9"/>
      <c r="U43" s="9"/>
      <c r="V43" s="9"/>
      <c r="W43" s="3"/>
      <c r="X43" s="9"/>
      <c r="Y43" s="9"/>
      <c r="Z43" s="3"/>
    </row>
    <row r="44" ht="12.75" customHeight="1">
      <c r="A44" s="9" t="s">
        <v>26</v>
      </c>
      <c r="B44" s="10">
        <f>IF(C44="*", SUMIF(Scoring!B74:B85, Rosters!D44, Scoring!M74:M85), "")</f>
        <v>0</v>
      </c>
      <c r="C44" s="11" t="s">
        <v>9</v>
      </c>
      <c r="D44" s="1" t="s">
        <v>169</v>
      </c>
      <c r="E44" s="10" t="str">
        <f>IF(F44="*", SUMIF(Scoring!B86:B97, Rosters!G44, Scoring!M86:M97), "")</f>
        <v/>
      </c>
      <c r="F44" s="11"/>
      <c r="G44" s="9" t="s">
        <v>170</v>
      </c>
      <c r="H44" s="10">
        <f>IF(I44="*", SUMIF(Scoring!B98:B109, Rosters!J44, Scoring!M98:M109), "")</f>
        <v>11</v>
      </c>
      <c r="I44" s="11" t="s">
        <v>9</v>
      </c>
      <c r="J44" s="1" t="s">
        <v>171</v>
      </c>
      <c r="K44" s="10">
        <f>IF(L44="*", SUMIF(Scoring!B110:B121, Rosters!M44, Scoring!M110:M121), "")</f>
        <v>2</v>
      </c>
      <c r="L44" s="11" t="s">
        <v>9</v>
      </c>
      <c r="M44" s="1" t="s">
        <v>172</v>
      </c>
      <c r="N44" s="10">
        <f>IF(O44="*", SUMIF(Scoring!B122:B133, Rosters!P44, Scoring!M122:M133), "")</f>
        <v>2</v>
      </c>
      <c r="O44" s="11" t="s">
        <v>9</v>
      </c>
      <c r="P44" s="5" t="s">
        <v>173</v>
      </c>
      <c r="Q44" s="10">
        <f>IF(R44="*", SUMIF(Scoring!B134:B145, Rosters!S44, Scoring!M134:M145), "")</f>
        <v>0</v>
      </c>
      <c r="R44" s="11" t="s">
        <v>9</v>
      </c>
      <c r="S44" s="1" t="s">
        <v>174</v>
      </c>
      <c r="T44" s="9"/>
      <c r="U44" s="9"/>
      <c r="V44" s="9"/>
      <c r="W44" s="3"/>
      <c r="X44" s="9"/>
      <c r="Y44" s="9"/>
      <c r="Z44" s="3"/>
    </row>
    <row r="45" ht="12.75" customHeight="1">
      <c r="A45" s="9"/>
      <c r="B45" s="10" t="str">
        <f>IF(C45="*", SUMIF(Scoring!B74:B85, Rosters!D45, Scoring!M74:M85), "")</f>
        <v/>
      </c>
      <c r="C45" s="11"/>
      <c r="D45" s="9" t="s">
        <v>175</v>
      </c>
      <c r="E45" s="10">
        <f>IF(F45="*", SUMIF(Scoring!B86:B97, Rosters!G45, Scoring!M86:M97), "")</f>
        <v>0</v>
      </c>
      <c r="F45" s="11" t="s">
        <v>9</v>
      </c>
      <c r="G45" s="1" t="s">
        <v>176</v>
      </c>
      <c r="H45" s="10" t="str">
        <f>IF(I45="*", SUMIF(Scoring!B98:B109, Rosters!J45, Scoring!M98:M109), "")</f>
        <v/>
      </c>
      <c r="I45" s="11"/>
      <c r="J45" s="12" t="s">
        <v>177</v>
      </c>
      <c r="K45" s="10">
        <f>IF(L45="*", SUMIF(Scoring!B110:B121, Rosters!M45, Scoring!M110:M121), "")</f>
        <v>8</v>
      </c>
      <c r="L45" s="11" t="s">
        <v>9</v>
      </c>
      <c r="M45" s="1" t="s">
        <v>178</v>
      </c>
      <c r="N45" s="10" t="str">
        <f>IF(O45="*", SUMIF(Scoring!B122:B133, Rosters!P45, Scoring!M122:M133), "")</f>
        <v/>
      </c>
      <c r="O45" s="11"/>
      <c r="P45" s="9" t="s">
        <v>179</v>
      </c>
      <c r="Q45" s="10">
        <f>IF(R45="*", SUMIF(Scoring!B134:B145, Rosters!S45, Scoring!M134:M145), "")</f>
        <v>0</v>
      </c>
      <c r="R45" s="11" t="s">
        <v>9</v>
      </c>
      <c r="S45" s="1" t="s">
        <v>180</v>
      </c>
      <c r="T45" s="9"/>
      <c r="U45" s="9"/>
      <c r="V45" s="9"/>
      <c r="W45" s="3"/>
      <c r="X45" s="9"/>
      <c r="Y45" s="9"/>
      <c r="Z45" s="3"/>
    </row>
    <row r="46" ht="12.75" customHeight="1">
      <c r="A46" s="9"/>
      <c r="B46" s="10" t="str">
        <f>IF(C46="*", SUMIF(Scoring!B74:B85, Rosters!D46, Scoring!M74:M85), "")</f>
        <v/>
      </c>
      <c r="C46" s="11"/>
      <c r="D46" s="12" t="s">
        <v>181</v>
      </c>
      <c r="E46" s="10">
        <f>IF(F46="*", SUMIF(Scoring!B86:B97, Rosters!G46, Scoring!M86:M97), "")</f>
        <v>6</v>
      </c>
      <c r="F46" s="11" t="s">
        <v>9</v>
      </c>
      <c r="G46" s="1" t="s">
        <v>182</v>
      </c>
      <c r="H46" s="10">
        <f>IF(I46="*", SUMIF(Scoring!B98:B109, Rosters!J46, Scoring!M98:M109), "")</f>
        <v>4</v>
      </c>
      <c r="I46" s="11" t="s">
        <v>9</v>
      </c>
      <c r="J46" s="5" t="s">
        <v>183</v>
      </c>
      <c r="K46" s="10" t="str">
        <f>IF(L46="*", SUMIF(Scoring!B110:B121, Rosters!M46, Scoring!M110:M121), "")</f>
        <v/>
      </c>
      <c r="L46" s="11"/>
      <c r="M46" s="12" t="s">
        <v>184</v>
      </c>
      <c r="N46" s="10">
        <f>IF(O46="*", SUMIF(Scoring!B122:B133, Rosters!P46, Scoring!M122:M133), "")</f>
        <v>0</v>
      </c>
      <c r="O46" s="11" t="s">
        <v>9</v>
      </c>
      <c r="P46" s="4" t="s">
        <v>185</v>
      </c>
      <c r="Q46" s="10" t="str">
        <f>IF(R46="*", SUMIF(Scoring!B134:B145, Rosters!S46, Scoring!M134:M145), "")</f>
        <v/>
      </c>
      <c r="R46" s="11"/>
      <c r="S46" s="12" t="s">
        <v>186</v>
      </c>
      <c r="T46" s="9"/>
      <c r="U46" s="9"/>
      <c r="V46" s="9"/>
      <c r="W46" s="3"/>
      <c r="X46" s="9"/>
      <c r="Y46" s="9"/>
      <c r="Z46" s="3"/>
    </row>
    <row r="47" ht="12.75" customHeight="1">
      <c r="A47" s="9"/>
      <c r="B47" s="10">
        <f>IF(C47="*", SUMIF(Scoring!B74:B85, Rosters!D47, Scoring!M74:M85), "")</f>
        <v>6</v>
      </c>
      <c r="C47" s="11" t="s">
        <v>9</v>
      </c>
      <c r="D47" s="5" t="s">
        <v>187</v>
      </c>
      <c r="E47" s="10" t="str">
        <f>IF(F47="*", SUMIF(Scoring!B86:B97, Rosters!G47, Scoring!M86:M97), "")</f>
        <v/>
      </c>
      <c r="F47" s="11"/>
      <c r="G47" s="12" t="s">
        <v>188</v>
      </c>
      <c r="H47" s="10" t="str">
        <f>IF(I47="*", SUMIF(Scoring!B98:B109, Rosters!J47, Scoring!M98:M109), "")</f>
        <v/>
      </c>
      <c r="I47" s="11"/>
      <c r="J47" s="12" t="s">
        <v>189</v>
      </c>
      <c r="K47" s="10" t="str">
        <f>IF(L47="*", SUMIF(Scoring!B110:B121, Rosters!M47, Scoring!M110:M121), "")</f>
        <v/>
      </c>
      <c r="L47" s="11"/>
      <c r="M47" s="12" t="s">
        <v>190</v>
      </c>
      <c r="N47" s="10" t="str">
        <f>IF(O47="*", SUMIF(Scoring!B122:B133, Rosters!P47, Scoring!M122:M133), "")</f>
        <v/>
      </c>
      <c r="O47" s="11"/>
      <c r="P47" s="12" t="s">
        <v>191</v>
      </c>
      <c r="Q47" s="10" t="str">
        <f>IF(R47="*", SUMIF(Scoring!B134:B145, Rosters!S47, Scoring!M134:M145), "")</f>
        <v/>
      </c>
      <c r="R47" s="11"/>
      <c r="S47" s="9" t="s">
        <v>192</v>
      </c>
      <c r="T47" s="9"/>
      <c r="U47" s="9"/>
      <c r="V47" s="9"/>
      <c r="W47" s="3"/>
      <c r="X47" s="9"/>
      <c r="Y47" s="9"/>
      <c r="Z47" s="3"/>
    </row>
    <row r="48" ht="12.75" customHeight="1">
      <c r="A48" s="9"/>
      <c r="B48" s="10"/>
      <c r="C48" s="3"/>
      <c r="D48" s="9"/>
      <c r="E48" s="10"/>
      <c r="F48" s="3"/>
      <c r="G48" s="9"/>
      <c r="H48" s="10"/>
      <c r="I48" s="3"/>
      <c r="J48" s="9"/>
      <c r="K48" s="10"/>
      <c r="L48" s="3"/>
      <c r="M48" s="9"/>
      <c r="N48" s="10"/>
      <c r="O48" s="3"/>
      <c r="P48" s="9"/>
      <c r="Q48" s="10"/>
      <c r="R48" s="3"/>
      <c r="S48" s="9"/>
      <c r="T48" s="9"/>
      <c r="U48" s="9"/>
      <c r="V48" s="9"/>
      <c r="W48" s="3"/>
      <c r="X48" s="9"/>
      <c r="Y48" s="9"/>
      <c r="Z48" s="3"/>
    </row>
    <row r="49" ht="12.75" customHeight="1">
      <c r="A49" s="9" t="s">
        <v>51</v>
      </c>
      <c r="B49" s="10">
        <f>IF(C49="*", SUMIF(Scoring!B74:B85, Rosters!D49, Scoring!M74:M85), "")</f>
        <v>8</v>
      </c>
      <c r="C49" s="11" t="s">
        <v>9</v>
      </c>
      <c r="D49" s="1" t="s">
        <v>193</v>
      </c>
      <c r="E49" s="10">
        <f>IF(F49="*", SUMIF(Scoring!B86:B97, Rosters!G49, Scoring!M86:M97), "")</f>
        <v>6</v>
      </c>
      <c r="F49" s="11" t="s">
        <v>9</v>
      </c>
      <c r="G49" s="1" t="s">
        <v>194</v>
      </c>
      <c r="H49" s="10">
        <f>IF(I49="*", SUMIF(Scoring!B98:B109, Rosters!J49, Scoring!M98:M109), "")</f>
        <v>0</v>
      </c>
      <c r="I49" s="11" t="s">
        <v>9</v>
      </c>
      <c r="J49" s="4" t="s">
        <v>195</v>
      </c>
      <c r="K49" s="10">
        <f>IF(L49="*", SUMIF(Scoring!B110:B121, Rosters!M49, Scoring!M110:M121), "")</f>
        <v>0</v>
      </c>
      <c r="L49" s="11" t="s">
        <v>9</v>
      </c>
      <c r="M49" s="1" t="s">
        <v>196</v>
      </c>
      <c r="N49" s="10" t="str">
        <f>IF(O49="*", SUMIF(Scoring!B122:B133, Rosters!P49, Scoring!M122:M133), "")</f>
        <v/>
      </c>
      <c r="O49" s="11"/>
      <c r="P49" s="9" t="s">
        <v>197</v>
      </c>
      <c r="Q49" s="10" t="str">
        <f>IF(R49="*", SUMIF(Scoring!B134:B145, Rosters!S49, Scoring!M134:M145), "")</f>
        <v/>
      </c>
      <c r="R49" s="11"/>
      <c r="S49" s="12" t="s">
        <v>198</v>
      </c>
      <c r="T49" s="9"/>
      <c r="U49" s="9"/>
      <c r="V49" s="7"/>
      <c r="W49" s="8"/>
      <c r="X49" s="7"/>
      <c r="Y49" s="7"/>
      <c r="Z49" s="8"/>
    </row>
    <row r="50" ht="12.75" customHeight="1">
      <c r="A50" s="9"/>
      <c r="B50" s="10" t="str">
        <f>IF(C50="*", SUMIF(Scoring!B74:B85, Rosters!D50, Scoring!M74:M85), "")</f>
        <v/>
      </c>
      <c r="C50" s="11"/>
      <c r="D50" s="9" t="s">
        <v>199</v>
      </c>
      <c r="E50" s="10">
        <f>IF(F50="*", SUMIF(Scoring!B86:B97, Rosters!G50, Scoring!M86:M97), "")</f>
        <v>0</v>
      </c>
      <c r="F50" s="11" t="s">
        <v>9</v>
      </c>
      <c r="G50" s="5" t="s">
        <v>200</v>
      </c>
      <c r="H50" s="10" t="str">
        <f>IF(I50="*", SUMIF(Scoring!B98:B109, Rosters!J50, Scoring!M98:M109), "")</f>
        <v/>
      </c>
      <c r="I50" s="11"/>
      <c r="J50" s="9" t="s">
        <v>201</v>
      </c>
      <c r="K50" s="10" t="str">
        <f>IF(L50="*", SUMIF(Scoring!B110:B121, Rosters!M50, Scoring!M110:M121), "")</f>
        <v/>
      </c>
      <c r="L50" s="11"/>
      <c r="M50" s="9" t="s">
        <v>202</v>
      </c>
      <c r="N50" s="10">
        <f>IF(O50="*", SUMIF(Scoring!B122:B133, Rosters!P50, Scoring!M122:M133), "")</f>
        <v>9</v>
      </c>
      <c r="O50" s="11" t="s">
        <v>9</v>
      </c>
      <c r="P50" s="1" t="s">
        <v>203</v>
      </c>
      <c r="Q50" s="10">
        <f>IF(R50="*", SUMIF(Scoring!B134:B145, Rosters!S50, Scoring!M134:M145), "")</f>
        <v>0</v>
      </c>
      <c r="R50" s="11" t="s">
        <v>9</v>
      </c>
      <c r="S50" s="1" t="s">
        <v>204</v>
      </c>
      <c r="T50" s="9"/>
      <c r="U50" s="9"/>
      <c r="V50" s="9"/>
      <c r="W50" s="3"/>
      <c r="X50" s="9"/>
      <c r="Y50" s="9"/>
      <c r="Z50" s="3"/>
    </row>
    <row r="51" ht="12.75" customHeight="1">
      <c r="A51" s="9"/>
      <c r="B51" s="10">
        <f>IF(C51="*", SUMIF(Scoring!B74:B85, Rosters!D51, Scoring!M74:M85), "")</f>
        <v>0</v>
      </c>
      <c r="C51" s="11" t="s">
        <v>9</v>
      </c>
      <c r="D51" s="1" t="s">
        <v>205</v>
      </c>
      <c r="E51" s="10" t="str">
        <f>IF(F51="*", SUMIF(Scoring!B86:B97, Rosters!G51, Scoring!M86:M97), "")</f>
        <v/>
      </c>
      <c r="F51" s="11"/>
      <c r="G51" s="9" t="s">
        <v>206</v>
      </c>
      <c r="H51" s="10">
        <f>IF(I51="*", SUMIF(Scoring!B98:B109, Rosters!J51, Scoring!M98:M109), "")</f>
        <v>16</v>
      </c>
      <c r="I51" s="11" t="s">
        <v>9</v>
      </c>
      <c r="J51" s="4" t="s">
        <v>207</v>
      </c>
      <c r="K51" s="10">
        <f>IF(L51="*", SUMIF(Scoring!B110:B121, Rosters!M51, Scoring!M110:M121), "")</f>
        <v>4</v>
      </c>
      <c r="L51" s="11" t="s">
        <v>9</v>
      </c>
      <c r="M51" s="1" t="s">
        <v>208</v>
      </c>
      <c r="N51" s="10">
        <f>IF(O51="*", SUMIF(Scoring!B122:B133, Rosters!P51, Scoring!M122:M133), "")</f>
        <v>0</v>
      </c>
      <c r="O51" s="11" t="s">
        <v>9</v>
      </c>
      <c r="P51" s="1" t="s">
        <v>209</v>
      </c>
      <c r="Q51" s="10">
        <f>IF(R51="*", SUMIF(Scoring!B134:B145, Rosters!S51, Scoring!M134:M145), "")</f>
        <v>6</v>
      </c>
      <c r="R51" s="11" t="s">
        <v>9</v>
      </c>
      <c r="S51" s="1" t="s">
        <v>210</v>
      </c>
      <c r="T51" s="9"/>
      <c r="U51" s="9"/>
      <c r="V51" s="9"/>
      <c r="W51" s="3"/>
      <c r="X51" s="9"/>
      <c r="Y51" s="9"/>
      <c r="Z51" s="3"/>
    </row>
    <row r="52" ht="12.75" customHeight="1">
      <c r="A52" s="9"/>
      <c r="B52" s="10" t="str">
        <f>IF(C52="*", SUMIF(Scoring!B74:B85, Rosters!D52, Scoring!M74:M85), "")</f>
        <v/>
      </c>
      <c r="C52" s="11"/>
      <c r="D52" s="12" t="s">
        <v>211</v>
      </c>
      <c r="E52" s="10" t="str">
        <f>IF(F52="*", SUMIF(Scoring!B86:B97, Rosters!G52, Scoring!M86:M97), "")</f>
        <v/>
      </c>
      <c r="F52" s="11"/>
      <c r="G52" s="17" t="s">
        <v>212</v>
      </c>
      <c r="H52" s="10" t="str">
        <f>IF(I52="*", SUMIF(Scoring!B98:B109, Rosters!J52, Scoring!M98:M109), "")</f>
        <v/>
      </c>
      <c r="I52" s="11"/>
      <c r="J52" s="12" t="s">
        <v>213</v>
      </c>
      <c r="K52" s="10" t="str">
        <f>IF(L52="*", SUMIF(Scoring!B110:B121, Rosters!M52, Scoring!M110:M121), "")</f>
        <v/>
      </c>
      <c r="L52" s="11"/>
      <c r="M52" s="18" t="s">
        <v>214</v>
      </c>
      <c r="N52" s="10" t="str">
        <f>IF(O52="*", SUMIF(Scoring!B122:B133, Rosters!P52, Scoring!M122:M133), "")</f>
        <v/>
      </c>
      <c r="O52" s="11"/>
      <c r="P52" s="12" t="s">
        <v>215</v>
      </c>
      <c r="Q52" s="10" t="str">
        <f>IF(R52="*", SUMIF(Scoring!B134:B145, Rosters!S52, Scoring!M134:M145), "")</f>
        <v/>
      </c>
      <c r="R52" s="11"/>
      <c r="S52" s="12" t="s">
        <v>216</v>
      </c>
      <c r="T52" s="9"/>
      <c r="U52" s="9"/>
      <c r="V52" s="9"/>
      <c r="W52" s="3"/>
      <c r="X52" s="9"/>
      <c r="Y52" s="9"/>
      <c r="Z52" s="3"/>
    </row>
    <row r="53" ht="12.75" customHeight="1">
      <c r="A53" s="9"/>
      <c r="B53" s="10"/>
      <c r="C53" s="3"/>
      <c r="D53" s="9"/>
      <c r="E53" s="10"/>
      <c r="F53" s="3"/>
      <c r="G53" s="9"/>
      <c r="H53" s="10"/>
      <c r="I53" s="3"/>
      <c r="J53" s="9"/>
      <c r="K53" s="10"/>
      <c r="L53" s="3"/>
      <c r="M53" s="9"/>
      <c r="N53" s="10"/>
      <c r="O53" s="3"/>
      <c r="P53" s="9"/>
      <c r="Q53" s="10"/>
      <c r="R53" s="3"/>
      <c r="S53" s="9"/>
      <c r="T53" s="9"/>
      <c r="U53" s="9"/>
      <c r="V53" s="9"/>
      <c r="W53" s="3"/>
      <c r="X53" s="9"/>
      <c r="Y53" s="9"/>
      <c r="Z53" s="3"/>
    </row>
    <row r="54" ht="12.75" customHeight="1">
      <c r="A54" s="9" t="s">
        <v>76</v>
      </c>
      <c r="B54" s="10">
        <f>IF(C54="*", SUMIF(Scoring!B74:B85, Rosters!D54, Scoring!M74:M85), "")</f>
        <v>2</v>
      </c>
      <c r="C54" s="11" t="s">
        <v>9</v>
      </c>
      <c r="D54" s="1" t="s">
        <v>217</v>
      </c>
      <c r="E54" s="10">
        <f>IF(F54="*", SUMIF(Scoring!B86:B97, Rosters!G54, Scoring!M86:M97), "")</f>
        <v>9</v>
      </c>
      <c r="F54" s="11" t="s">
        <v>9</v>
      </c>
      <c r="G54" s="1" t="s">
        <v>218</v>
      </c>
      <c r="H54" s="10">
        <f>IF(I54="*", SUMIF(Scoring!B98:B109, Rosters!J54, Scoring!M98:M109), "")</f>
        <v>14</v>
      </c>
      <c r="I54" s="11" t="s">
        <v>9</v>
      </c>
      <c r="J54" s="1" t="s">
        <v>219</v>
      </c>
      <c r="K54" s="10">
        <f>IF(L54="*", SUMIF(Scoring!B110:B121, Rosters!M54, Scoring!M110:M121), "")</f>
        <v>2</v>
      </c>
      <c r="L54" s="11" t="s">
        <v>9</v>
      </c>
      <c r="M54" s="5" t="s">
        <v>220</v>
      </c>
      <c r="N54" s="10">
        <f>IF(O54="*", SUMIF(Scoring!B122:B133, Rosters!P54, Scoring!M122:M133), "")</f>
        <v>0</v>
      </c>
      <c r="O54" s="11" t="s">
        <v>9</v>
      </c>
      <c r="P54" s="1" t="s">
        <v>221</v>
      </c>
      <c r="Q54" s="10" t="str">
        <f>IF(R54="*", SUMIF(Scoring!B134:B145, Rosters!S54, Scoring!M134:M145), "")</f>
        <v/>
      </c>
      <c r="R54" s="11"/>
      <c r="S54" s="9" t="s">
        <v>222</v>
      </c>
      <c r="T54" s="9"/>
      <c r="U54" s="9"/>
      <c r="V54" s="9"/>
      <c r="W54" s="3"/>
      <c r="X54" s="9"/>
      <c r="Y54" s="9"/>
      <c r="Z54" s="3"/>
    </row>
    <row r="55" ht="12.75" customHeight="1">
      <c r="A55" s="9"/>
      <c r="B55" s="10" t="str">
        <f>IF(C55="*", SUMIF(Scoring!B74:B85, Rosters!D55, Scoring!M74:M85), "")</f>
        <v/>
      </c>
      <c r="C55" s="11"/>
      <c r="D55" s="12" t="s">
        <v>223</v>
      </c>
      <c r="E55" s="10" t="str">
        <f>IF(F55="*", SUMIF(Scoring!B86:B97, Rosters!G55, Scoring!M86:M97), "")</f>
        <v/>
      </c>
      <c r="F55" s="11"/>
      <c r="G55" s="9" t="s">
        <v>224</v>
      </c>
      <c r="H55" s="10" t="str">
        <f>IF(I55="*", SUMIF(Scoring!B98:B109, Rosters!J55, Scoring!M98:M109), "")</f>
        <v/>
      </c>
      <c r="I55" s="11"/>
      <c r="J55" s="9" t="s">
        <v>225</v>
      </c>
      <c r="K55" s="10" t="str">
        <f>IF(L55="*", SUMIF(Scoring!B110:B121, Rosters!M55, Scoring!M110:M121), "")</f>
        <v/>
      </c>
      <c r="L55" s="11"/>
      <c r="M55" s="12" t="s">
        <v>226</v>
      </c>
      <c r="N55" s="10" t="str">
        <f>IF(O55="*", SUMIF(Scoring!B122:B133, Rosters!P55, Scoring!M122:M133), "")</f>
        <v/>
      </c>
      <c r="O55" s="11"/>
      <c r="P55" s="9" t="s">
        <v>227</v>
      </c>
      <c r="Q55" s="10" t="str">
        <f>IF(R55="*", SUMIF(Scoring!B134:B145, Rosters!S55, Scoring!M134:M145), "")</f>
        <v/>
      </c>
      <c r="R55" s="11"/>
      <c r="S55" s="12" t="s">
        <v>228</v>
      </c>
      <c r="T55" s="9"/>
      <c r="U55" s="9"/>
      <c r="V55" s="9"/>
      <c r="W55" s="3"/>
      <c r="X55" s="9"/>
      <c r="Y55" s="9"/>
      <c r="Z55" s="3"/>
    </row>
    <row r="56" ht="12.75" customHeight="1">
      <c r="A56" s="9"/>
      <c r="B56" s="10" t="str">
        <f>IF(C56="*", SUMIF(Scoring!B74:B85, Rosters!D56, Scoring!M74:M85), "")</f>
        <v/>
      </c>
      <c r="C56" s="11"/>
      <c r="D56" s="12" t="s">
        <v>229</v>
      </c>
      <c r="E56" s="10" t="str">
        <f>IF(F56="*", SUMIF(Scoring!B86:B97, Rosters!G56, Scoring!M86:M97), "")</f>
        <v/>
      </c>
      <c r="F56" s="14"/>
      <c r="G56" s="9" t="s">
        <v>230</v>
      </c>
      <c r="H56" s="10" t="str">
        <f>IF(I56="*", SUMIF(Scoring!B98:B109, Rosters!J56, Scoring!M98:M109), "")</f>
        <v/>
      </c>
      <c r="I56" s="11"/>
      <c r="J56" s="12" t="s">
        <v>231</v>
      </c>
      <c r="K56" s="10" t="str">
        <f>IF(L56="*", SUMIF(Scoring!B110:B121, Rosters!M56, Scoring!M110:M121), "")</f>
        <v/>
      </c>
      <c r="L56" s="11"/>
      <c r="M56" s="12" t="s">
        <v>232</v>
      </c>
      <c r="N56" s="10" t="str">
        <f>IF(O56="*", SUMIF(Scoring!B122:B133, Rosters!P56, Scoring!M122:M133), "")</f>
        <v/>
      </c>
      <c r="O56" s="11"/>
      <c r="P56" s="9" t="s">
        <v>233</v>
      </c>
      <c r="Q56" s="10">
        <f>IF(R56="*", SUMIF(Scoring!B134:B145, Rosters!S56, Scoring!M134:M145), "")</f>
        <v>0</v>
      </c>
      <c r="R56" s="11" t="s">
        <v>9</v>
      </c>
      <c r="S56" s="5" t="s">
        <v>234</v>
      </c>
      <c r="T56" s="9"/>
      <c r="U56" s="9"/>
      <c r="V56" s="9"/>
      <c r="W56" s="3"/>
      <c r="X56" s="9"/>
      <c r="Y56" s="9"/>
      <c r="Z56" s="3"/>
    </row>
    <row r="57" ht="12.75" customHeight="1">
      <c r="A57" s="9"/>
      <c r="B57" s="10"/>
      <c r="C57" s="3"/>
      <c r="D57" s="9"/>
      <c r="E57" s="10"/>
      <c r="F57" s="3"/>
      <c r="G57" s="9"/>
      <c r="H57" s="10"/>
      <c r="I57" s="3"/>
      <c r="J57" s="9"/>
      <c r="K57" s="10"/>
      <c r="L57" s="3"/>
      <c r="M57" s="9"/>
      <c r="N57" s="10"/>
      <c r="O57" s="3"/>
      <c r="P57" s="9"/>
      <c r="Q57" s="10"/>
      <c r="R57" s="3"/>
      <c r="S57" s="9"/>
      <c r="T57" s="9"/>
      <c r="U57" s="9"/>
      <c r="V57" s="9"/>
      <c r="W57" s="3"/>
      <c r="X57" s="9"/>
      <c r="Y57" s="9"/>
      <c r="Z57" s="3"/>
    </row>
    <row r="58" ht="12.75" customHeight="1">
      <c r="A58" s="9" t="s">
        <v>96</v>
      </c>
      <c r="B58" s="10">
        <f>IF(C58="*", SUMIF(Scoring!B74:B85, Rosters!D58, Scoring!M74:M85), "")</f>
        <v>17</v>
      </c>
      <c r="C58" s="11" t="s">
        <v>9</v>
      </c>
      <c r="D58" s="1" t="s">
        <v>235</v>
      </c>
      <c r="E58" s="10" t="str">
        <f>IF(F58="*", SUMIF(Scoring!B86:B97, Rosters!G58, Scoring!M86:M97), "")</f>
        <v/>
      </c>
      <c r="F58" s="11"/>
      <c r="G58" s="9" t="s">
        <v>236</v>
      </c>
      <c r="H58" s="10">
        <f>IF(I58="*", SUMIF(Scoring!B98:B109, Rosters!J58, Scoring!M98:M109), "")</f>
        <v>5</v>
      </c>
      <c r="I58" s="11" t="s">
        <v>9</v>
      </c>
      <c r="J58" s="1" t="s">
        <v>237</v>
      </c>
      <c r="K58" s="10">
        <f>IF(L58="*", SUMIF(Scoring!B110:B121, Rosters!M58, Scoring!M110:M121), "")</f>
        <v>5</v>
      </c>
      <c r="L58" s="11" t="s">
        <v>9</v>
      </c>
      <c r="M58" s="5" t="s">
        <v>238</v>
      </c>
      <c r="N58" s="10">
        <f>IF(O58="*", SUMIF(Scoring!B122:B133, Rosters!P58, Scoring!M122:M133), "")</f>
        <v>6</v>
      </c>
      <c r="O58" s="11" t="s">
        <v>9</v>
      </c>
      <c r="P58" s="5" t="s">
        <v>239</v>
      </c>
      <c r="Q58" s="10" t="str">
        <f>IF(R58="*", SUMIF(Scoring!B134:B145, Rosters!S58, Scoring!M134:M145), "")</f>
        <v/>
      </c>
      <c r="R58" s="11"/>
      <c r="S58" s="9" t="s">
        <v>240</v>
      </c>
      <c r="T58" s="9"/>
      <c r="U58" s="9"/>
      <c r="V58" s="9"/>
      <c r="W58" s="3"/>
      <c r="X58" s="9"/>
      <c r="Y58" s="9"/>
      <c r="Z58" s="3"/>
    </row>
    <row r="59" ht="12.75" customHeight="1">
      <c r="A59" s="9"/>
      <c r="B59" s="10" t="str">
        <f>IF(C59="*", SUMIF(Scoring!B74:B85, Rosters!D59, Scoring!M74:M85), "")</f>
        <v/>
      </c>
      <c r="C59" s="11"/>
      <c r="D59" s="12" t="s">
        <v>241</v>
      </c>
      <c r="E59" s="10">
        <f>IF(F59="*", SUMIF(Scoring!B86:B97, Rosters!G59, Scoring!M86:M97), "")</f>
        <v>2</v>
      </c>
      <c r="F59" s="11" t="s">
        <v>9</v>
      </c>
      <c r="G59" s="1" t="s">
        <v>242</v>
      </c>
      <c r="H59" s="10" t="str">
        <f>IF(I59="*", SUMIF(Scoring!B98:B109, Rosters!J59, Scoring!M98:M109), "")</f>
        <v/>
      </c>
      <c r="I59" s="11"/>
      <c r="J59" s="9" t="s">
        <v>243</v>
      </c>
      <c r="K59" s="10" t="str">
        <f>IF(L59="*", SUMIF(Scoring!B110:B121, Rosters!M59, Scoring!M110:M121), "")</f>
        <v/>
      </c>
      <c r="L59" s="11"/>
      <c r="M59" s="12" t="s">
        <v>244</v>
      </c>
      <c r="N59" s="10" t="str">
        <f>IF(O59="*", SUMIF(Scoring!B122:B133, Rosters!P59, Scoring!M122:M133), "")</f>
        <v/>
      </c>
      <c r="O59" s="11"/>
      <c r="P59" s="12" t="s">
        <v>245</v>
      </c>
      <c r="Q59" s="10">
        <f>IF(R59="*", SUMIF(Scoring!B134:B145, Rosters!S59, Scoring!M134:M145), "")</f>
        <v>6</v>
      </c>
      <c r="R59" s="11" t="s">
        <v>9</v>
      </c>
      <c r="S59" s="5" t="s">
        <v>246</v>
      </c>
      <c r="T59" s="9"/>
      <c r="U59" s="9"/>
      <c r="V59" s="9"/>
      <c r="W59" s="3"/>
      <c r="X59" s="9"/>
      <c r="Y59" s="9"/>
      <c r="Z59" s="3"/>
    </row>
    <row r="60" ht="12.75" customHeight="1">
      <c r="A60" s="9"/>
      <c r="B60" s="10"/>
      <c r="C60" s="3"/>
      <c r="D60" s="9"/>
      <c r="E60" s="10"/>
      <c r="F60" s="3"/>
      <c r="G60" s="9"/>
      <c r="H60" s="10"/>
      <c r="I60" s="3"/>
      <c r="J60" s="9"/>
      <c r="K60" s="10"/>
      <c r="L60" s="3"/>
      <c r="M60" s="9"/>
      <c r="N60" s="10"/>
      <c r="O60" s="3"/>
      <c r="P60" s="9"/>
      <c r="Q60" s="10"/>
      <c r="R60" s="3"/>
      <c r="S60" s="9"/>
      <c r="T60" s="9"/>
      <c r="U60" s="9"/>
      <c r="V60" s="9"/>
      <c r="W60" s="3"/>
      <c r="X60" s="9"/>
      <c r="Y60" s="9"/>
      <c r="Z60" s="3"/>
    </row>
    <row r="61" ht="12.75" customHeight="1">
      <c r="A61" s="9" t="s">
        <v>109</v>
      </c>
      <c r="B61" s="10" t="str">
        <f>IF(C61="*", SUMIF(Scoring!B74:B85, Rosters!D61, Scoring!M74:M85), "")</f>
        <v/>
      </c>
      <c r="C61" s="11"/>
      <c r="D61" s="9" t="s">
        <v>247</v>
      </c>
      <c r="E61" s="10" t="str">
        <f>IF(F61="*", SUMIF(Scoring!B86:B97, Rosters!G61, Scoring!M86:M97), "")</f>
        <v/>
      </c>
      <c r="F61" s="11"/>
      <c r="G61" s="12" t="s">
        <v>248</v>
      </c>
      <c r="H61" s="10" t="str">
        <f>IF(I61="*", SUMIF(Scoring!B98:B109, Rosters!J61, Scoring!M98:M109), "")</f>
        <v/>
      </c>
      <c r="I61" s="11"/>
      <c r="J61" s="12" t="s">
        <v>249</v>
      </c>
      <c r="K61" s="10" t="str">
        <f>IF(L61="*", SUMIF(Scoring!B110:B121, Rosters!M61, Scoring!M110:M121), "")</f>
        <v/>
      </c>
      <c r="L61" s="11"/>
      <c r="M61" s="12" t="s">
        <v>250</v>
      </c>
      <c r="N61" s="10" t="str">
        <f>IF(O61="*", SUMIF(Scoring!B122:B133, Rosters!P61, Scoring!M122:M133), "")</f>
        <v/>
      </c>
      <c r="O61" s="11"/>
      <c r="P61" s="9" t="s">
        <v>251</v>
      </c>
      <c r="Q61" s="10">
        <f>IF(R61="*", SUMIF(Scoring!B134:B145, Rosters!S61, Scoring!M134:M145), "")</f>
        <v>0</v>
      </c>
      <c r="R61" s="11" t="s">
        <v>9</v>
      </c>
      <c r="S61" s="5" t="s">
        <v>252</v>
      </c>
      <c r="T61" s="9"/>
      <c r="U61" s="9"/>
      <c r="V61" s="7"/>
      <c r="W61" s="8"/>
      <c r="X61" s="7"/>
      <c r="Y61" s="7"/>
      <c r="Z61" s="8"/>
    </row>
    <row r="62" ht="12.75" customHeight="1">
      <c r="A62" s="9"/>
      <c r="B62" s="10">
        <f>IF(C62="*", SUMIF(Scoring!B74:B85, Rosters!D62, Scoring!M74:M85), "")</f>
        <v>2</v>
      </c>
      <c r="C62" s="11" t="s">
        <v>9</v>
      </c>
      <c r="D62" s="1" t="s">
        <v>253</v>
      </c>
      <c r="E62" s="10">
        <f>IF(F62="*", SUMIF(Scoring!B86:B97, Rosters!G62, Scoring!M86:M97), "")</f>
        <v>8</v>
      </c>
      <c r="F62" s="11" t="s">
        <v>9</v>
      </c>
      <c r="G62" s="5" t="s">
        <v>254</v>
      </c>
      <c r="H62" s="10">
        <f>IF(I62="*", SUMIF(Scoring!B98:B109, Rosters!J62, Scoring!M98:M109), "")</f>
        <v>4</v>
      </c>
      <c r="I62" s="11" t="s">
        <v>9</v>
      </c>
      <c r="J62" s="5" t="s">
        <v>255</v>
      </c>
      <c r="K62" s="10">
        <f>IF(L62="*", SUMIF(Scoring!B110:B121, Rosters!M62, Scoring!M110:M121), "")</f>
        <v>9</v>
      </c>
      <c r="L62" s="11" t="s">
        <v>9</v>
      </c>
      <c r="M62" s="1" t="s">
        <v>256</v>
      </c>
      <c r="N62" s="10">
        <f>IF(O62="*", SUMIF(Scoring!B122:B133, Rosters!P62, Scoring!M122:M133), "")</f>
        <v>1</v>
      </c>
      <c r="O62" s="11" t="s">
        <v>9</v>
      </c>
      <c r="P62" s="5" t="s">
        <v>257</v>
      </c>
      <c r="Q62" s="10" t="str">
        <f>IF(R62="*", SUMIF(Scoring!B134:B145, Rosters!S62, Scoring!M134:M145), "")</f>
        <v/>
      </c>
      <c r="R62" s="11"/>
      <c r="S62" s="12" t="s">
        <v>258</v>
      </c>
      <c r="T62" s="9"/>
      <c r="U62" s="9"/>
      <c r="V62" s="9"/>
      <c r="W62" s="3"/>
      <c r="X62" s="9"/>
      <c r="Y62" s="9"/>
      <c r="Z62" s="3"/>
    </row>
    <row r="63" ht="12.75" customHeight="1">
      <c r="A63" s="9"/>
      <c r="B63" s="10"/>
      <c r="C63" s="3"/>
      <c r="D63" s="9"/>
      <c r="E63" s="10"/>
      <c r="F63" s="3"/>
      <c r="G63" s="9"/>
      <c r="H63" s="10"/>
      <c r="I63" s="3"/>
      <c r="J63" s="9"/>
      <c r="K63" s="10"/>
      <c r="L63" s="3"/>
      <c r="M63" s="9"/>
      <c r="N63" s="10"/>
      <c r="O63" s="3"/>
      <c r="P63" s="9"/>
      <c r="Q63" s="10"/>
      <c r="R63" s="3"/>
      <c r="S63" s="9"/>
      <c r="T63" s="9"/>
      <c r="U63" s="9"/>
      <c r="V63" s="9"/>
      <c r="W63" s="3"/>
      <c r="X63" s="9"/>
      <c r="Y63" s="9"/>
      <c r="Z63" s="3"/>
    </row>
    <row r="64" ht="12.75" customHeight="1">
      <c r="A64" s="9" t="s">
        <v>122</v>
      </c>
      <c r="B64" s="10" t="str">
        <f>IF(C64="*", SUMIF(Scoring!B74:B85, Rosters!D64, Scoring!M74:M85), "")</f>
        <v/>
      </c>
      <c r="C64" s="11"/>
      <c r="D64" s="12" t="s">
        <v>259</v>
      </c>
      <c r="E64" s="10" t="str">
        <f>IF(F64="*", SUMIF(Scoring!B86:B97, Rosters!G64, Scoring!M86:M97), "")</f>
        <v/>
      </c>
      <c r="F64" s="11"/>
      <c r="G64" s="9" t="s">
        <v>260</v>
      </c>
      <c r="H64" s="10" t="str">
        <f>IF(I64="*", SUMIF(Scoring!B98:B109, Rosters!J64, Scoring!M98:M109), "")</f>
        <v/>
      </c>
      <c r="I64" s="11"/>
      <c r="J64" s="9" t="s">
        <v>261</v>
      </c>
      <c r="K64" s="10" t="str">
        <f>IF(L64="*", SUMIF(Scoring!B110:B121, Rosters!M64, Scoring!M110:M121), "")</f>
        <v/>
      </c>
      <c r="L64" s="11"/>
      <c r="M64" s="12" t="s">
        <v>262</v>
      </c>
      <c r="N64" s="10">
        <f>IF(O64="*", SUMIF(Scoring!B122:B133, Rosters!P64, Scoring!M122:M133), "")</f>
        <v>7</v>
      </c>
      <c r="O64" s="11" t="s">
        <v>9</v>
      </c>
      <c r="P64" s="5" t="s">
        <v>263</v>
      </c>
      <c r="Q64" s="10" t="str">
        <f>IF(R64="*", SUMIF(Scoring!B134:B145, Rosters!S64, Scoring!M134:M145), "")</f>
        <v/>
      </c>
      <c r="R64" s="11"/>
      <c r="S64" s="9" t="s">
        <v>264</v>
      </c>
      <c r="T64" s="9"/>
      <c r="U64" s="9"/>
      <c r="V64" s="9"/>
      <c r="W64" s="3"/>
      <c r="X64" s="9"/>
      <c r="Y64" s="9"/>
      <c r="Z64" s="3"/>
    </row>
    <row r="65" ht="12.75" customHeight="1">
      <c r="A65" s="9"/>
      <c r="B65" s="10">
        <f>IF(C65="*", SUMIF(Scoring!B74:B85, Rosters!D65, Scoring!M74:M85), "")</f>
        <v>4</v>
      </c>
      <c r="C65" s="11" t="s">
        <v>9</v>
      </c>
      <c r="D65" s="1" t="s">
        <v>265</v>
      </c>
      <c r="E65" s="10" t="str">
        <f>IF(F65="*", SUMIF(Scoring!B86:B97, Rosters!G65, Scoring!M86:M97), "")</f>
        <v/>
      </c>
      <c r="F65" s="11"/>
      <c r="G65" s="12" t="s">
        <v>266</v>
      </c>
      <c r="H65" s="10">
        <f>IF(I65="*", SUMIF(Scoring!B98:B109, Rosters!J65, Scoring!M98:M109), "")</f>
        <v>5</v>
      </c>
      <c r="I65" s="11" t="s">
        <v>9</v>
      </c>
      <c r="J65" s="1" t="s">
        <v>267</v>
      </c>
      <c r="K65" s="2">
        <f>IF(L65="*", SUMIF(Scoring!B110:B121, Rosters!M65, Scoring!M110:M121), "")</f>
        <v>0</v>
      </c>
      <c r="L65" s="11" t="s">
        <v>9</v>
      </c>
      <c r="M65" s="1" t="s">
        <v>268</v>
      </c>
      <c r="N65" s="10" t="str">
        <f>IF(O65="*", SUMIF(Scoring!B122:B133, Rosters!P65, Scoring!M122:M133), "")</f>
        <v/>
      </c>
      <c r="O65" s="11"/>
      <c r="P65" s="9" t="s">
        <v>269</v>
      </c>
      <c r="Q65" s="10">
        <f>IF(R65="*", SUMIF(Scoring!B134:B145, Rosters!S65, Scoring!M134:M145), "")</f>
        <v>6</v>
      </c>
      <c r="R65" s="11" t="s">
        <v>9</v>
      </c>
      <c r="S65" s="5" t="s">
        <v>270</v>
      </c>
      <c r="T65" s="9"/>
      <c r="U65" s="9"/>
      <c r="V65" s="9"/>
      <c r="W65" s="3"/>
      <c r="X65" s="9"/>
      <c r="Y65" s="9"/>
      <c r="Z65" s="3"/>
    </row>
    <row r="66" ht="12.75" customHeight="1">
      <c r="A66" s="9"/>
      <c r="B66" s="2"/>
      <c r="C66" s="3"/>
      <c r="D66" s="9"/>
      <c r="E66" s="10"/>
      <c r="F66" s="3"/>
      <c r="G66" s="9"/>
      <c r="H66" s="10"/>
      <c r="I66" s="3"/>
      <c r="J66" s="9"/>
      <c r="K66" s="10"/>
      <c r="L66" s="3"/>
      <c r="M66" s="9"/>
      <c r="N66" s="10"/>
      <c r="O66" s="3"/>
      <c r="P66" s="9"/>
      <c r="Q66" s="10"/>
      <c r="R66" s="3"/>
      <c r="S66" s="9"/>
      <c r="T66" s="9"/>
      <c r="U66" s="9"/>
      <c r="V66" s="9"/>
      <c r="W66" s="3"/>
      <c r="X66" s="9"/>
      <c r="Y66" s="9"/>
      <c r="Z66" s="3"/>
    </row>
    <row r="67" ht="12.75" customHeight="1">
      <c r="A67" s="19"/>
      <c r="B67" s="20"/>
      <c r="C67" s="21"/>
      <c r="D67" s="22">
        <f>SUM(B40:B66)</f>
        <v>50</v>
      </c>
      <c r="E67" s="20"/>
      <c r="F67" s="21"/>
      <c r="G67" s="22">
        <f>SUM(E40:E66)</f>
        <v>47</v>
      </c>
      <c r="H67" s="20"/>
      <c r="I67" s="21"/>
      <c r="J67" s="22">
        <f>SUM(H40:H66)</f>
        <v>74</v>
      </c>
      <c r="K67" s="20"/>
      <c r="L67" s="21"/>
      <c r="M67" s="22">
        <f>SUM(K40:K66)</f>
        <v>30</v>
      </c>
      <c r="N67" s="20"/>
      <c r="O67" s="21"/>
      <c r="P67" s="22">
        <f>SUM(N40:N66)</f>
        <v>52</v>
      </c>
      <c r="Q67" s="20"/>
      <c r="R67" s="21"/>
      <c r="S67" s="22">
        <f>SUM(Q40:Q66)</f>
        <v>33</v>
      </c>
      <c r="T67" s="19"/>
      <c r="U67" s="19"/>
      <c r="V67" s="24"/>
      <c r="W67" s="3"/>
      <c r="X67" s="24"/>
      <c r="Y67" s="24"/>
      <c r="Z67" s="3"/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6"/>
      <c r="S68" s="9"/>
      <c r="T68" s="9"/>
      <c r="U68" s="9"/>
      <c r="V68" s="9"/>
      <c r="W68" s="3"/>
      <c r="X68" s="9"/>
      <c r="Y68" s="9"/>
      <c r="Z68" s="3"/>
    </row>
    <row r="69" ht="12.75" customHeight="1">
      <c r="A69" s="9" t="s">
        <v>135</v>
      </c>
      <c r="B69" s="2"/>
      <c r="C69" s="3"/>
      <c r="D69" s="9" t="s">
        <v>271</v>
      </c>
      <c r="E69" s="2"/>
      <c r="F69" s="6"/>
      <c r="G69" s="9" t="s">
        <v>272</v>
      </c>
      <c r="H69" s="2"/>
      <c r="I69" s="6"/>
      <c r="J69" s="9" t="s">
        <v>273</v>
      </c>
      <c r="K69" s="2"/>
      <c r="L69" s="6"/>
      <c r="M69" s="9" t="s">
        <v>274</v>
      </c>
      <c r="N69" s="2"/>
      <c r="O69" s="6"/>
      <c r="P69" s="9" t="s">
        <v>275</v>
      </c>
      <c r="Q69" s="2"/>
      <c r="R69" s="6"/>
      <c r="S69" s="9" t="s">
        <v>276</v>
      </c>
      <c r="T69" s="9"/>
      <c r="U69" s="9"/>
      <c r="V69" s="9"/>
      <c r="W69" s="3"/>
      <c r="X69" s="9"/>
      <c r="Y69" s="9"/>
      <c r="Z69" s="3"/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277</v>
      </c>
      <c r="K70" s="2"/>
      <c r="L70" s="6"/>
      <c r="M70" s="9" t="s">
        <v>95</v>
      </c>
      <c r="N70" s="2"/>
      <c r="O70" s="6"/>
      <c r="P70" s="9"/>
      <c r="Q70" s="2"/>
      <c r="R70" s="6"/>
      <c r="S70" s="9"/>
      <c r="T70" s="9"/>
      <c r="U70" s="9"/>
      <c r="V70" s="9"/>
      <c r="W70" s="3"/>
      <c r="X70" s="9"/>
      <c r="Y70" s="9"/>
      <c r="Z70" s="3"/>
    </row>
    <row r="71" ht="12.75" customHeight="1">
      <c r="A71" s="9"/>
      <c r="B71" s="2"/>
      <c r="C71" s="3"/>
      <c r="D71" s="9"/>
      <c r="E71" s="2"/>
      <c r="F71" s="6"/>
      <c r="G71" s="28"/>
      <c r="H71" s="2"/>
      <c r="I71" s="6"/>
      <c r="J71" s="28"/>
      <c r="K71" s="2"/>
      <c r="L71" s="6"/>
      <c r="M71" s="28"/>
      <c r="N71" s="2"/>
      <c r="O71" s="6"/>
      <c r="P71" s="28"/>
      <c r="Q71" s="2"/>
      <c r="R71" s="6"/>
      <c r="S71" s="28"/>
      <c r="T71" s="9"/>
      <c r="U71" s="9"/>
      <c r="V71" s="9"/>
      <c r="W71" s="3"/>
      <c r="X71" s="9"/>
      <c r="Y71" s="9"/>
      <c r="Z71" s="3"/>
    </row>
    <row r="72" ht="12.75" customHeight="1">
      <c r="A72" s="9" t="s">
        <v>143</v>
      </c>
      <c r="B72" s="2"/>
      <c r="C72" s="3"/>
      <c r="D72" s="18"/>
      <c r="F72" s="29"/>
      <c r="G72" s="27"/>
      <c r="H72" s="25"/>
      <c r="J72" s="27"/>
      <c r="K72" s="26"/>
      <c r="M72" s="27"/>
      <c r="N72" s="26"/>
      <c r="P72" s="27"/>
      <c r="Q72" s="25"/>
      <c r="R72" s="30"/>
      <c r="S72" s="27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29"/>
      <c r="G73" s="27"/>
      <c r="H73" s="25"/>
      <c r="J73" s="27"/>
      <c r="K73" s="26"/>
      <c r="M73" s="27"/>
      <c r="N73" s="28"/>
      <c r="P73" s="27"/>
      <c r="Q73" s="25"/>
      <c r="R73" s="30"/>
      <c r="S73" s="25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29"/>
      <c r="G74" s="25"/>
      <c r="H74" s="25"/>
      <c r="J74" s="27"/>
      <c r="K74" s="26"/>
      <c r="M74" s="27"/>
      <c r="N74" s="26"/>
      <c r="P74" s="27"/>
      <c r="Q74" s="25"/>
      <c r="R74" s="30"/>
      <c r="S74" s="25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8.14"/>
    <col customWidth="1" min="3" max="3" width="6.71"/>
    <col customWidth="1" min="4" max="4" width="23.43"/>
    <col customWidth="1" min="5" max="5" width="7.86"/>
    <col customWidth="1" min="8" max="9" width="3.29"/>
    <col customWidth="1" min="10" max="10" width="6.57"/>
    <col customWidth="1" min="11" max="11" width="4.43"/>
  </cols>
  <sheetData>
    <row r="1">
      <c r="A1" s="31" t="str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>K/A/M</v>
      </c>
      <c r="B1" s="32"/>
      <c r="C1" s="31"/>
      <c r="D1" s="33" t="str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>Steve L</v>
      </c>
      <c r="E1" s="34"/>
      <c r="F1" s="35"/>
      <c r="G1" s="35"/>
      <c r="H1" s="35"/>
      <c r="I1" s="35"/>
      <c r="J1" s="35"/>
      <c r="K1" s="35"/>
      <c r="L1" s="36" t="s">
        <v>278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7" t="str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>Lamar Jackson (Bal)</v>
      </c>
      <c r="B2" s="38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>0</v>
      </c>
      <c r="C2" s="35"/>
      <c r="D2" s="37" t="str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>Tua Tagovailoa (Mia)</v>
      </c>
      <c r="E2" s="38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>0</v>
      </c>
      <c r="F2" s="35"/>
      <c r="G2" s="35"/>
      <c r="H2" s="36">
        <v>8.0</v>
      </c>
      <c r="I2" s="36">
        <v>4.0</v>
      </c>
      <c r="J2" s="35"/>
      <c r="K2" s="35"/>
      <c r="L2" s="36" t="s">
        <v>279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7" t="str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>Jonathan Taylor (Ind)</v>
      </c>
      <c r="B3" s="38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>2</v>
      </c>
      <c r="C3" s="35"/>
      <c r="D3" s="37" t="str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>Jahmyr Gibbs (Det)</v>
      </c>
      <c r="E3" s="38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>0</v>
      </c>
      <c r="F3" s="35"/>
      <c r="G3" s="35"/>
      <c r="H3" s="36">
        <v>12.0</v>
      </c>
      <c r="I3" s="36">
        <v>9.0</v>
      </c>
      <c r="J3" s="35"/>
      <c r="K3" s="35"/>
      <c r="L3" s="36" t="s">
        <v>280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7" t="str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>Derrick Henry (Bal)</v>
      </c>
      <c r="B4" s="38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>8</v>
      </c>
      <c r="C4" s="35"/>
      <c r="D4" s="37" t="str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>Isiah Pacheco (KC)</v>
      </c>
      <c r="E4" s="38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>0</v>
      </c>
      <c r="F4" s="35"/>
      <c r="G4" s="35"/>
      <c r="H4" s="36">
        <v>7.0</v>
      </c>
      <c r="I4" s="36">
        <v>3.0</v>
      </c>
      <c r="J4" s="35"/>
      <c r="K4" s="35"/>
      <c r="L4" s="36" t="s">
        <v>281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7" t="str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>DeVonta Smith (Phi)</v>
      </c>
      <c r="B5" s="38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>0</v>
      </c>
      <c r="C5" s="35"/>
      <c r="D5" s="37" t="str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>Christian Watson (GB)</v>
      </c>
      <c r="E5" s="38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>8</v>
      </c>
      <c r="F5" s="35"/>
      <c r="G5" s="35"/>
      <c r="H5" s="36">
        <v>10.0</v>
      </c>
      <c r="I5" s="36">
        <v>1.0</v>
      </c>
      <c r="J5" s="35"/>
      <c r="K5" s="35"/>
      <c r="L5" s="36" t="s">
        <v>282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7" t="str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>George Pickens (Dal)</v>
      </c>
      <c r="B6" s="38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>4</v>
      </c>
      <c r="C6" s="35"/>
      <c r="D6" s="37" t="str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>Tet McMillan (Car)</v>
      </c>
      <c r="E6" s="38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>6</v>
      </c>
      <c r="F6" s="35"/>
      <c r="G6" s="35"/>
      <c r="H6" s="36">
        <v>6.0</v>
      </c>
      <c r="I6" s="36">
        <v>2.0</v>
      </c>
      <c r="J6" s="35"/>
      <c r="K6" s="35"/>
      <c r="L6" s="36" t="s">
        <v>283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7" t="str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>George Kittle (SF)</v>
      </c>
      <c r="B7" s="38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>2</v>
      </c>
      <c r="C7" s="35"/>
      <c r="D7" s="37" t="str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>Gunnar Helm (Ten)</v>
      </c>
      <c r="E7" s="38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>0</v>
      </c>
      <c r="F7" s="35"/>
      <c r="G7" s="35"/>
      <c r="H7" s="36">
        <v>11.0</v>
      </c>
      <c r="I7" s="36">
        <v>5.0</v>
      </c>
      <c r="J7" s="35"/>
      <c r="K7" s="35"/>
      <c r="L7" s="36" t="s">
        <v>284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7" t="str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>Cam Little (Jax)</v>
      </c>
      <c r="B8" s="38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>5</v>
      </c>
      <c r="C8" s="35"/>
      <c r="D8" s="37" t="str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>Brandon Aubrey (Dal)</v>
      </c>
      <c r="E8" s="38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>8</v>
      </c>
      <c r="F8" s="35"/>
      <c r="G8" s="35"/>
      <c r="H8" s="36" t="s">
        <v>95</v>
      </c>
      <c r="I8" s="36" t="s">
        <v>95</v>
      </c>
      <c r="J8" s="35"/>
      <c r="K8" s="35"/>
      <c r="L8" s="36" t="s">
        <v>285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7" t="str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>LA Chargers</v>
      </c>
      <c r="B9" s="38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>9</v>
      </c>
      <c r="C9" s="35"/>
      <c r="D9" s="37" t="str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>Houston</v>
      </c>
      <c r="E9" s="38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>3</v>
      </c>
      <c r="F9" s="35"/>
      <c r="G9" s="35"/>
      <c r="H9" s="35"/>
      <c r="I9" s="35"/>
      <c r="J9" s="35"/>
      <c r="K9" s="35"/>
      <c r="L9" s="36" t="s">
        <v>286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7" t="str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>Raheem Morris (Atl)</v>
      </c>
      <c r="B10" s="38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>0</v>
      </c>
      <c r="C10" s="35"/>
      <c r="D10" s="37" t="str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>Dan Campbell (Det)</v>
      </c>
      <c r="E10" s="38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>0</v>
      </c>
      <c r="F10" s="35"/>
      <c r="G10" s="35"/>
      <c r="H10" s="35"/>
      <c r="I10" s="35"/>
      <c r="J10" s="35"/>
      <c r="K10" s="35"/>
      <c r="L10" s="36" t="s">
        <v>287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9"/>
      <c r="B11" s="40">
        <f>sum(B2:B10)</f>
        <v>30</v>
      </c>
      <c r="C11" s="41"/>
      <c r="D11" s="41"/>
      <c r="E11" s="40">
        <f>sum(E2:E10)</f>
        <v>25</v>
      </c>
      <c r="F11" s="41"/>
      <c r="G11" s="41"/>
      <c r="H11" s="41"/>
      <c r="I11" s="41"/>
      <c r="J11" s="41"/>
      <c r="K11" s="41"/>
      <c r="L11" s="36" t="s">
        <v>288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37"/>
      <c r="B12" s="42"/>
      <c r="C12" s="35"/>
      <c r="D12" s="35"/>
      <c r="E12" s="42"/>
      <c r="F12" s="35"/>
      <c r="G12" s="35"/>
      <c r="H12" s="35"/>
      <c r="I12" s="35"/>
      <c r="J12" s="35"/>
      <c r="K12" s="35"/>
      <c r="L12" s="36" t="s">
        <v>289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3" t="str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>D/J</v>
      </c>
      <c r="B13" s="32"/>
      <c r="C13" s="31"/>
      <c r="D13" s="33" t="str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>Kirk/D</v>
      </c>
      <c r="E13" s="32"/>
      <c r="F13" s="41"/>
      <c r="G13" s="41"/>
      <c r="H13" s="41"/>
      <c r="I13" s="41"/>
      <c r="J13" s="41"/>
      <c r="K13" s="41"/>
      <c r="L13" s="36" t="s">
        <v>290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37" t="str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>Josh Allen (Buf)</v>
      </c>
      <c r="B14" s="38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>11</v>
      </c>
      <c r="C14" s="35"/>
      <c r="D14" s="37" t="str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>Jordan Love (GB)</v>
      </c>
      <c r="E14" s="38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>26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7" t="str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>Zach Charbonnet (Sea)</v>
      </c>
      <c r="B15" s="38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>6</v>
      </c>
      <c r="C15" s="35"/>
      <c r="D15" s="37" t="str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>Josh Jacobs (GB)</v>
      </c>
      <c r="E15" s="38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>2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7" t="str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>Tyjae Spears (Ten)</v>
      </c>
      <c r="B16" s="38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>0</v>
      </c>
      <c r="C16" s="35"/>
      <c r="D16" s="37" t="str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>RJ Harvey (Den)</v>
      </c>
      <c r="E16" s="38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>12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7" t="str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>Amon-Ra St. Brown (Det)</v>
      </c>
      <c r="B17" s="38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>0</v>
      </c>
      <c r="C17" s="35"/>
      <c r="D17" s="37" t="str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>Puka Nacua (LAR)</v>
      </c>
      <c r="E17" s="38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>0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7" t="str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>Marvin Harrison (Arz)</v>
      </c>
      <c r="B18" s="38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>0</v>
      </c>
      <c r="C18" s="35"/>
      <c r="D18" s="37" t="str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>Davante Adams (LAR)</v>
      </c>
      <c r="E18" s="38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>12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7" t="str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>Brenton Strange (Jax)</v>
      </c>
      <c r="B19" s="38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>6</v>
      </c>
      <c r="C19" s="35"/>
      <c r="D19" s="37" t="str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>Darren Waller (Mia)</v>
      </c>
      <c r="E19" s="38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>0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7" t="str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>Tyler Loop (Bal)</v>
      </c>
      <c r="B20" s="38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>2</v>
      </c>
      <c r="C20" s="35"/>
      <c r="D20" s="37" t="str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>Jake Elliott (Phi)</v>
      </c>
      <c r="E20" s="38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>0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37" t="str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>New England</v>
      </c>
      <c r="B21" s="38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>6</v>
      </c>
      <c r="C21" s="35"/>
      <c r="D21" s="37" t="str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>Denver</v>
      </c>
      <c r="E21" s="38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>4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7" t="str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>Mike Vrabel (NE)</v>
      </c>
      <c r="B22" s="38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>4</v>
      </c>
      <c r="C22" s="35"/>
      <c r="D22" s="37" t="str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>Sean McVay (LAR)</v>
      </c>
      <c r="E22" s="38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>0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39"/>
      <c r="B23" s="40">
        <f>sum(B14:B22)</f>
        <v>35</v>
      </c>
      <c r="C23" s="41"/>
      <c r="D23" s="41"/>
      <c r="E23" s="40">
        <f>sum(E14:E22)</f>
        <v>56</v>
      </c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37"/>
      <c r="B24" s="42"/>
      <c r="C24" s="35"/>
      <c r="D24" s="35"/>
      <c r="E24" s="42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33" t="str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>Kevin</v>
      </c>
      <c r="B25" s="32"/>
      <c r="C25" s="31"/>
      <c r="D25" s="33" t="str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>Wes/B</v>
      </c>
      <c r="E25" s="32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37" t="str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>Jalen Hurts (Phi)</v>
      </c>
      <c r="B26" s="38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>12</v>
      </c>
      <c r="C26" s="35"/>
      <c r="D26" s="37" t="str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>Joe Burrow (Cin)</v>
      </c>
      <c r="E26" s="38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>15</v>
      </c>
      <c r="F26" s="35"/>
      <c r="G26" s="36"/>
      <c r="H26" s="36"/>
      <c r="I26" s="36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7" t="str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>De'Von Achane (Mia)</v>
      </c>
      <c r="B27" s="38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>10</v>
      </c>
      <c r="C27" s="35"/>
      <c r="D27" s="37" t="str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>Bijan Robinson (Atl)</v>
      </c>
      <c r="E27" s="38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>11</v>
      </c>
      <c r="F27" s="35"/>
      <c r="G27" s="36"/>
      <c r="H27" s="36"/>
      <c r="I27" s="3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7" t="str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>Woody Marks (Hou)</v>
      </c>
      <c r="B28" s="38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>0</v>
      </c>
      <c r="C28" s="35"/>
      <c r="D28" s="37" t="str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>James Cook (Buf)</v>
      </c>
      <c r="E28" s="38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>4</v>
      </c>
      <c r="F28" s="35"/>
      <c r="G28" s="36"/>
      <c r="H28" s="36"/>
      <c r="I28" s="36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7" t="str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>Deebo Samuel (Was)</v>
      </c>
      <c r="B29" s="38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>0</v>
      </c>
      <c r="C29" s="35"/>
      <c r="D29" s="37" t="str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>Brian Thomas Jr. (Jax)</v>
      </c>
      <c r="E29" s="38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>0</v>
      </c>
      <c r="F29" s="35"/>
      <c r="G29" s="36"/>
      <c r="H29" s="36"/>
      <c r="I29" s="36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7" t="str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>Emeka Egbuka (TB)</v>
      </c>
      <c r="B30" s="38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>0</v>
      </c>
      <c r="C30" s="35"/>
      <c r="D30" s="37" t="str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>A.J. Brown (PHI)</v>
      </c>
      <c r="E30" s="38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>16</v>
      </c>
      <c r="F30" s="35"/>
      <c r="G30" s="36"/>
      <c r="H30" s="36"/>
      <c r="I30" s="36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7" t="str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>Travis Kelce (KC)</v>
      </c>
      <c r="B31" s="38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>6</v>
      </c>
      <c r="C31" s="35"/>
      <c r="D31" s="37" t="str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>Brock Bowers (LV)</v>
      </c>
      <c r="E31" s="38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>14</v>
      </c>
      <c r="F31" s="35"/>
      <c r="G31" s="36"/>
      <c r="H31" s="36"/>
      <c r="I31" s="36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7" t="str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>Chris Boswell (Pit)</v>
      </c>
      <c r="B32" s="38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>1</v>
      </c>
      <c r="C32" s="35"/>
      <c r="D32" s="37" t="str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>Jake Bates (Det)</v>
      </c>
      <c r="E32" s="38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>5</v>
      </c>
      <c r="F32" s="35"/>
      <c r="G32" s="36"/>
      <c r="H32" s="36"/>
      <c r="I32" s="36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7" t="str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>LA Rams</v>
      </c>
      <c r="B33" s="38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>0</v>
      </c>
      <c r="C33" s="35"/>
      <c r="D33" s="37" t="str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>Indianapolis</v>
      </c>
      <c r="E33" s="38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>4</v>
      </c>
      <c r="F33" s="35"/>
      <c r="G33" s="36"/>
      <c r="H33" s="36"/>
      <c r="I33" s="36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7" t="str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>Kyle Shanahan (SF)</v>
      </c>
      <c r="B34" s="38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>5</v>
      </c>
      <c r="C34" s="35"/>
      <c r="D34" s="37" t="str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>Liam Coen (Jax)</v>
      </c>
      <c r="E34" s="38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>5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41"/>
      <c r="B35" s="40">
        <f>sum(B26:B34)</f>
        <v>34</v>
      </c>
      <c r="C35" s="41"/>
      <c r="D35" s="41"/>
      <c r="E35" s="40">
        <f>sum(E26:E34)</f>
        <v>74</v>
      </c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35"/>
      <c r="B36" s="42"/>
      <c r="C36" s="35"/>
      <c r="D36" s="35"/>
      <c r="E36" s="42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3" t="str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>Eric/J</v>
      </c>
      <c r="B37" s="32"/>
      <c r="C37" s="31"/>
      <c r="D37" s="33" t="str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>Andrew</v>
      </c>
      <c r="E37" s="32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37" t="str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>Justin Herbert (LAC)</v>
      </c>
      <c r="B38" s="38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>11</v>
      </c>
      <c r="C38" s="35"/>
      <c r="D38" s="37" t="str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>Trevor Lawrence (Jax)</v>
      </c>
      <c r="E38" s="38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>16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7" t="str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>TreVeyon Henderson (NE)</v>
      </c>
      <c r="B39" s="38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>0</v>
      </c>
      <c r="C39" s="35"/>
      <c r="D39" s="37" t="str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>Kenneth Walker III (Sea)</v>
      </c>
      <c r="E39" s="38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7" t="str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>Javonte Williams (Dal)</v>
      </c>
      <c r="B40" s="38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>6</v>
      </c>
      <c r="C40" s="35"/>
      <c r="D40" s="37" t="str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>David Montgomery (Det)</v>
      </c>
      <c r="E40" s="38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>6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7" t="str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>Nico Collins (Hou)</v>
      </c>
      <c r="B41" s="38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>8</v>
      </c>
      <c r="C41" s="35"/>
      <c r="D41" s="37" t="str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>Ladd McConkey (LAC)</v>
      </c>
      <c r="E41" s="38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>6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7" t="str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>Khalil Shakir (Buf)</v>
      </c>
      <c r="B42" s="38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>0</v>
      </c>
      <c r="C42" s="35"/>
      <c r="D42" s="37" t="str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>Jaylen Waddle (Mia)</v>
      </c>
      <c r="E42" s="38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7" t="str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>Hunter Henry (NE)</v>
      </c>
      <c r="B43" s="38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>2</v>
      </c>
      <c r="C43" s="35"/>
      <c r="D43" s="37" t="str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>Trey McBride (Arz)</v>
      </c>
      <c r="E43" s="38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>9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7" t="str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>Evan McPherson (Cin)</v>
      </c>
      <c r="B44" s="38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>17</v>
      </c>
      <c r="C44" s="35"/>
      <c r="D44" s="37" t="str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>Daniel Carlson (LV)</v>
      </c>
      <c r="E44" s="38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>2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7" t="str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>Atlanta</v>
      </c>
      <c r="B45" s="38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>2</v>
      </c>
      <c r="C45" s="35"/>
      <c r="D45" s="37" t="str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>Minnesota</v>
      </c>
      <c r="E45" s="38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>8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7" t="str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>Mike Macdonald (Sea)</v>
      </c>
      <c r="B46" s="38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>4</v>
      </c>
      <c r="C46" s="35"/>
      <c r="D46" s="37" t="str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/>
      </c>
      <c r="E46" s="38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9"/>
      <c r="B47" s="40">
        <f>sum(B38:B46)</f>
        <v>50</v>
      </c>
      <c r="C47" s="41"/>
      <c r="D47" s="41"/>
      <c r="E47" s="40">
        <f>sum(E38:E46)</f>
        <v>47</v>
      </c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35"/>
      <c r="B48" s="42"/>
      <c r="C48" s="35"/>
      <c r="D48" s="35"/>
      <c r="E48" s="42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3" t="str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>J/M</v>
      </c>
      <c r="B49" s="32"/>
      <c r="C49" s="31"/>
      <c r="D49" s="33" t="str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>John</v>
      </c>
      <c r="E49" s="32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37" t="str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>Patrick Mahomes (KC)</v>
      </c>
      <c r="B50" s="38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>27</v>
      </c>
      <c r="C50" s="35"/>
      <c r="D50" s="37" t="str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>Bo Nix (Den)</v>
      </c>
      <c r="E50" s="38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>9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7" t="str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>Chase Brown (Cin)</v>
      </c>
      <c r="B51" s="38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>2</v>
      </c>
      <c r="C51" s="35"/>
      <c r="D51" s="37" t="str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>Kyren Williams (LAR)</v>
      </c>
      <c r="E51" s="38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>6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7" t="str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>Tony Pollard (TEN)</v>
      </c>
      <c r="B52" s="38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>0</v>
      </c>
      <c r="C52" s="35"/>
      <c r="D52" s="37" t="str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>Blake Corum (LAR)</v>
      </c>
      <c r="E52" s="38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>8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7" t="str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>CeeDee Lamb (Dal)</v>
      </c>
      <c r="B53" s="38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>9</v>
      </c>
      <c r="C53" s="35"/>
      <c r="D53" s="37" t="str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>Ja'Marr Chase (Cin)</v>
      </c>
      <c r="E53" s="38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>3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7" t="str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>Rome Odunze (Chi)</v>
      </c>
      <c r="B54" s="38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>0</v>
      </c>
      <c r="C54" s="35"/>
      <c r="D54" s="37" t="str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>Michael Pittman (Ind)</v>
      </c>
      <c r="E54" s="38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>0</v>
      </c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7" t="str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>Mark Andrews (Bal)</v>
      </c>
      <c r="B55" s="38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>0</v>
      </c>
      <c r="C55" s="35"/>
      <c r="D55" s="37" t="str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>Dallas Goedert (Phi)</v>
      </c>
      <c r="E55" s="38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>0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7" t="str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>Ka'imi Fairbairn (Hou)</v>
      </c>
      <c r="B56" s="38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>6</v>
      </c>
      <c r="C56" s="35"/>
      <c r="D56" s="37" t="str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>Cameron Dicker (LAC)</v>
      </c>
      <c r="E56" s="38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>8</v>
      </c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7" t="str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>Cleveland</v>
      </c>
      <c r="B57" s="38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>1</v>
      </c>
      <c r="C57" s="35"/>
      <c r="D57" s="37" t="str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>San Francisco</v>
      </c>
      <c r="E57" s="38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>13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7" t="str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>Zac Taylor (Cin)</v>
      </c>
      <c r="B58" s="38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>7</v>
      </c>
      <c r="C58" s="35"/>
      <c r="D58" s="37" t="str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>John Harbaugh (Bal)</v>
      </c>
      <c r="E58" s="38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>0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41"/>
      <c r="B59" s="40">
        <f>sum(B50:B58)</f>
        <v>52</v>
      </c>
      <c r="C59" s="41"/>
      <c r="D59" s="39"/>
      <c r="E59" s="40">
        <f>sum(E50:E58)</f>
        <v>47</v>
      </c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35"/>
      <c r="B60" s="42"/>
      <c r="C60" s="35"/>
      <c r="D60" s="37"/>
      <c r="E60" s="38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3" t="str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>Adam</v>
      </c>
      <c r="B61" s="32"/>
      <c r="C61" s="31"/>
      <c r="D61" s="33" t="str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>Greg/G</v>
      </c>
      <c r="E61" s="43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37" t="str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>Jared Goff (Det)</v>
      </c>
      <c r="B62" s="38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>15</v>
      </c>
      <c r="C62" s="35"/>
      <c r="D62" s="37" t="str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>Baker Mayfield (TB)</v>
      </c>
      <c r="E62" s="38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>6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7" t="str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>Saquon Barkley (Phi)</v>
      </c>
      <c r="B63" s="38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>0</v>
      </c>
      <c r="C63" s="35"/>
      <c r="D63" s="37" t="str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>Quinshon Judkins (CLE)</v>
      </c>
      <c r="E63" s="38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>4</v>
      </c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7" t="str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>Ashton Jeanty (LV)</v>
      </c>
      <c r="B64" s="38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>0</v>
      </c>
      <c r="C64" s="35"/>
      <c r="D64" s="37" t="str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>Jaylen Warren (Pit)</v>
      </c>
      <c r="E64" s="38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>6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7" t="str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>Xavier Worthy (KC)</v>
      </c>
      <c r="B65" s="38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>0</v>
      </c>
      <c r="C65" s="35"/>
      <c r="D65" s="37" t="str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>Jaxon Smith-Njigba (Sea)</v>
      </c>
      <c r="E65" s="38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>0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7" t="str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>Chris Olave (NO)</v>
      </c>
      <c r="B66" s="38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>6</v>
      </c>
      <c r="C66" s="35"/>
      <c r="D66" s="37" t="str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>Rashee Rice (KC)</v>
      </c>
      <c r="E66" s="38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>14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7" t="str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>AJ Barner (Sea)</v>
      </c>
      <c r="B67" s="38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>0</v>
      </c>
      <c r="C67" s="35"/>
      <c r="D67" s="37" t="str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>Jake Ferguson (Dal)</v>
      </c>
      <c r="E67" s="38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>0</v>
      </c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7" t="str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>Andres Borregales (NE)</v>
      </c>
      <c r="B68" s="38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>6</v>
      </c>
      <c r="C68" s="35"/>
      <c r="D68" s="37" t="str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>Jason Myers (Sea)</v>
      </c>
      <c r="E68" s="38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>15</v>
      </c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7" t="str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>Detroit</v>
      </c>
      <c r="B69" s="38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>0</v>
      </c>
      <c r="C69" s="35"/>
      <c r="D69" s="37" t="str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>Seattle</v>
      </c>
      <c r="E69" s="38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>26</v>
      </c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7" t="str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>Brian Schottenheimer (Dal)</v>
      </c>
      <c r="B70" s="38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>6</v>
      </c>
      <c r="C70" s="35"/>
      <c r="D70" s="37" t="str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>Todd Bowles (TB)</v>
      </c>
      <c r="E70" s="38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>4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9"/>
      <c r="B71" s="40">
        <f>sum(B62:B70)</f>
        <v>33</v>
      </c>
      <c r="C71" s="41"/>
      <c r="D71" s="41"/>
      <c r="E71" s="40">
        <f>sum(E62:E70)</f>
        <v>75</v>
      </c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37"/>
      <c r="B72" s="42"/>
      <c r="C72" s="35"/>
      <c r="D72" s="35"/>
      <c r="E72" s="42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42"/>
      <c r="C73" s="35"/>
      <c r="D73" s="35"/>
      <c r="E73" s="42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42"/>
      <c r="C74" s="35"/>
      <c r="D74" s="35"/>
      <c r="E74" s="42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42"/>
      <c r="C75" s="35"/>
      <c r="D75" s="35"/>
      <c r="E75" s="42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42"/>
      <c r="C76" s="35"/>
      <c r="D76" s="35"/>
      <c r="E76" s="42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42"/>
      <c r="C77" s="35"/>
      <c r="D77" s="35"/>
      <c r="E77" s="42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42"/>
      <c r="C78" s="35"/>
      <c r="D78" s="35"/>
      <c r="E78" s="42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42"/>
      <c r="C79" s="35"/>
      <c r="D79" s="35"/>
      <c r="E79" s="42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42"/>
      <c r="C80" s="35"/>
      <c r="D80" s="35"/>
      <c r="E80" s="42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42"/>
      <c r="C81" s="35"/>
      <c r="D81" s="35"/>
      <c r="E81" s="42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42"/>
      <c r="C82" s="35"/>
      <c r="D82" s="35"/>
      <c r="E82" s="42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42"/>
      <c r="C83" s="35"/>
      <c r="D83" s="35"/>
      <c r="E83" s="42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42"/>
      <c r="C84" s="35"/>
      <c r="D84" s="35"/>
      <c r="E84" s="42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42"/>
      <c r="C85" s="35"/>
      <c r="D85" s="35"/>
      <c r="E85" s="42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42"/>
      <c r="C86" s="35"/>
      <c r="D86" s="35"/>
      <c r="E86" s="42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42"/>
      <c r="C87" s="35"/>
      <c r="D87" s="35"/>
      <c r="E87" s="42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42"/>
      <c r="C88" s="35"/>
      <c r="D88" s="35"/>
      <c r="E88" s="42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42"/>
      <c r="C89" s="35"/>
      <c r="D89" s="35"/>
      <c r="E89" s="42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42"/>
      <c r="C90" s="35"/>
      <c r="D90" s="35"/>
      <c r="E90" s="42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42"/>
      <c r="C91" s="35"/>
      <c r="D91" s="35"/>
      <c r="E91" s="42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42"/>
      <c r="C92" s="35"/>
      <c r="D92" s="35"/>
      <c r="E92" s="42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42"/>
      <c r="C93" s="35"/>
      <c r="D93" s="35"/>
      <c r="E93" s="42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42"/>
      <c r="C94" s="35"/>
      <c r="D94" s="35"/>
      <c r="E94" s="42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42"/>
      <c r="C95" s="35"/>
      <c r="D95" s="35"/>
      <c r="E95" s="42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42"/>
      <c r="C96" s="35"/>
      <c r="D96" s="35"/>
      <c r="E96" s="42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42"/>
      <c r="C97" s="35"/>
      <c r="D97" s="35"/>
      <c r="E97" s="42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42"/>
      <c r="C98" s="35"/>
      <c r="D98" s="35"/>
      <c r="E98" s="42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42"/>
      <c r="C99" s="35"/>
      <c r="D99" s="35"/>
      <c r="E99" s="42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42"/>
      <c r="C100" s="35"/>
      <c r="D100" s="35"/>
      <c r="E100" s="42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42"/>
      <c r="C101" s="35"/>
      <c r="D101" s="35"/>
      <c r="E101" s="42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42"/>
      <c r="C102" s="35"/>
      <c r="D102" s="35"/>
      <c r="E102" s="42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42"/>
      <c r="C103" s="35"/>
      <c r="D103" s="35"/>
      <c r="E103" s="42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42"/>
      <c r="C104" s="35"/>
      <c r="D104" s="35"/>
      <c r="E104" s="42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42"/>
      <c r="C105" s="35"/>
      <c r="D105" s="35"/>
      <c r="E105" s="42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42"/>
      <c r="C106" s="35"/>
      <c r="D106" s="35"/>
      <c r="E106" s="42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42"/>
      <c r="C107" s="35"/>
      <c r="D107" s="35"/>
      <c r="E107" s="42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42"/>
      <c r="C108" s="35"/>
      <c r="D108" s="35"/>
      <c r="E108" s="42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42"/>
      <c r="C109" s="35"/>
      <c r="D109" s="35"/>
      <c r="E109" s="42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42"/>
      <c r="C110" s="35"/>
      <c r="D110" s="35"/>
      <c r="E110" s="42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42"/>
      <c r="C111" s="35"/>
      <c r="D111" s="35"/>
      <c r="E111" s="42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42"/>
      <c r="C112" s="35"/>
      <c r="D112" s="35"/>
      <c r="E112" s="42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42"/>
      <c r="C113" s="35"/>
      <c r="D113" s="35"/>
      <c r="E113" s="42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42"/>
      <c r="C114" s="35"/>
      <c r="D114" s="35"/>
      <c r="E114" s="42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42"/>
      <c r="C115" s="35"/>
      <c r="D115" s="35"/>
      <c r="E115" s="42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42"/>
      <c r="C116" s="35"/>
      <c r="D116" s="35"/>
      <c r="E116" s="42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42"/>
      <c r="C117" s="35"/>
      <c r="D117" s="35"/>
      <c r="E117" s="42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42"/>
      <c r="C118" s="35"/>
      <c r="D118" s="35"/>
      <c r="E118" s="42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42"/>
      <c r="C119" s="35"/>
      <c r="D119" s="35"/>
      <c r="E119" s="42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42"/>
      <c r="C120" s="35"/>
      <c r="D120" s="35"/>
      <c r="E120" s="42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42"/>
      <c r="C121" s="35"/>
      <c r="D121" s="35"/>
      <c r="E121" s="42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42"/>
      <c r="C122" s="35"/>
      <c r="D122" s="35"/>
      <c r="E122" s="42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42"/>
      <c r="C123" s="35"/>
      <c r="D123" s="35"/>
      <c r="E123" s="42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42"/>
      <c r="C124" s="35"/>
      <c r="D124" s="35"/>
      <c r="E124" s="42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42"/>
      <c r="C125" s="35"/>
      <c r="D125" s="35"/>
      <c r="E125" s="42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42"/>
      <c r="C126" s="35"/>
      <c r="D126" s="35"/>
      <c r="E126" s="42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42"/>
      <c r="C127" s="35"/>
      <c r="D127" s="35"/>
      <c r="E127" s="42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42"/>
      <c r="C128" s="35"/>
      <c r="D128" s="35"/>
      <c r="E128" s="42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42"/>
      <c r="C129" s="35"/>
      <c r="D129" s="35"/>
      <c r="E129" s="42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42"/>
      <c r="C130" s="35"/>
      <c r="D130" s="35"/>
      <c r="E130" s="42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42"/>
      <c r="C131" s="35"/>
      <c r="D131" s="35"/>
      <c r="E131" s="42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42"/>
      <c r="C132" s="35"/>
      <c r="D132" s="35"/>
      <c r="E132" s="42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42"/>
      <c r="C133" s="35"/>
      <c r="D133" s="35"/>
      <c r="E133" s="42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42"/>
      <c r="C134" s="35"/>
      <c r="D134" s="35"/>
      <c r="E134" s="42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42"/>
      <c r="C135" s="35"/>
      <c r="D135" s="35"/>
      <c r="E135" s="42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42"/>
      <c r="C136" s="35"/>
      <c r="D136" s="35"/>
      <c r="E136" s="42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42"/>
      <c r="C137" s="35"/>
      <c r="D137" s="35"/>
      <c r="E137" s="42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42"/>
      <c r="C138" s="35"/>
      <c r="D138" s="35"/>
      <c r="E138" s="42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42"/>
      <c r="C139" s="35"/>
      <c r="D139" s="35"/>
      <c r="E139" s="42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42"/>
      <c r="C140" s="35"/>
      <c r="D140" s="35"/>
      <c r="E140" s="42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42"/>
      <c r="C141" s="35"/>
      <c r="D141" s="35"/>
      <c r="E141" s="42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42"/>
      <c r="C142" s="35"/>
      <c r="D142" s="35"/>
      <c r="E142" s="42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42"/>
      <c r="C143" s="35"/>
      <c r="D143" s="35"/>
      <c r="E143" s="42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42"/>
      <c r="C144" s="35"/>
      <c r="D144" s="35"/>
      <c r="E144" s="42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42"/>
      <c r="C145" s="35"/>
      <c r="D145" s="35"/>
      <c r="E145" s="42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42"/>
      <c r="C146" s="35"/>
      <c r="D146" s="35"/>
      <c r="E146" s="42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42"/>
      <c r="C147" s="35"/>
      <c r="D147" s="35"/>
      <c r="E147" s="42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42"/>
      <c r="C148" s="35"/>
      <c r="D148" s="35"/>
      <c r="E148" s="42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42"/>
      <c r="C149" s="35"/>
      <c r="D149" s="35"/>
      <c r="E149" s="42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42"/>
      <c r="C150" s="35"/>
      <c r="D150" s="35"/>
      <c r="E150" s="42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42"/>
      <c r="C151" s="35"/>
      <c r="D151" s="35"/>
      <c r="E151" s="42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42"/>
      <c r="C152" s="35"/>
      <c r="D152" s="35"/>
      <c r="E152" s="42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42"/>
      <c r="C153" s="35"/>
      <c r="D153" s="35"/>
      <c r="E153" s="42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42"/>
      <c r="C154" s="35"/>
      <c r="D154" s="35"/>
      <c r="E154" s="42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42"/>
      <c r="C155" s="35"/>
      <c r="D155" s="35"/>
      <c r="E155" s="42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42"/>
      <c r="C156" s="35"/>
      <c r="D156" s="35"/>
      <c r="E156" s="42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42"/>
      <c r="C157" s="35"/>
      <c r="D157" s="35"/>
      <c r="E157" s="42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42"/>
      <c r="C158" s="35"/>
      <c r="D158" s="35"/>
      <c r="E158" s="42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42"/>
      <c r="C159" s="35"/>
      <c r="D159" s="35"/>
      <c r="E159" s="42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42"/>
      <c r="C160" s="35"/>
      <c r="D160" s="35"/>
      <c r="E160" s="42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42"/>
      <c r="C161" s="35"/>
      <c r="D161" s="35"/>
      <c r="E161" s="42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42"/>
      <c r="C162" s="35"/>
      <c r="D162" s="35"/>
      <c r="E162" s="42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42"/>
      <c r="C163" s="35"/>
      <c r="D163" s="35"/>
      <c r="E163" s="42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42"/>
      <c r="C164" s="35"/>
      <c r="D164" s="35"/>
      <c r="E164" s="42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42"/>
      <c r="C165" s="35"/>
      <c r="D165" s="35"/>
      <c r="E165" s="42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42"/>
      <c r="C166" s="35"/>
      <c r="D166" s="35"/>
      <c r="E166" s="42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42"/>
      <c r="C167" s="35"/>
      <c r="D167" s="35"/>
      <c r="E167" s="42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42"/>
      <c r="C168" s="35"/>
      <c r="D168" s="35"/>
      <c r="E168" s="42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42"/>
      <c r="C169" s="35"/>
      <c r="D169" s="35"/>
      <c r="E169" s="42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42"/>
      <c r="C170" s="35"/>
      <c r="D170" s="35"/>
      <c r="E170" s="42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42"/>
      <c r="C171" s="35"/>
      <c r="D171" s="35"/>
      <c r="E171" s="42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42"/>
      <c r="C172" s="35"/>
      <c r="D172" s="35"/>
      <c r="E172" s="42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42"/>
      <c r="C173" s="35"/>
      <c r="D173" s="35"/>
      <c r="E173" s="42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42"/>
      <c r="C174" s="35"/>
      <c r="D174" s="35"/>
      <c r="E174" s="42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42"/>
      <c r="C175" s="35"/>
      <c r="D175" s="35"/>
      <c r="E175" s="42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42"/>
      <c r="C176" s="35"/>
      <c r="D176" s="35"/>
      <c r="E176" s="42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42"/>
      <c r="C177" s="35"/>
      <c r="D177" s="35"/>
      <c r="E177" s="42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42"/>
      <c r="C178" s="35"/>
      <c r="D178" s="35"/>
      <c r="E178" s="42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42"/>
      <c r="C179" s="35"/>
      <c r="D179" s="35"/>
      <c r="E179" s="42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42"/>
      <c r="C180" s="35"/>
      <c r="D180" s="35"/>
      <c r="E180" s="42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42"/>
      <c r="C181" s="35"/>
      <c r="D181" s="35"/>
      <c r="E181" s="42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42"/>
      <c r="C182" s="35"/>
      <c r="D182" s="35"/>
      <c r="E182" s="42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42"/>
      <c r="C183" s="35"/>
      <c r="D183" s="35"/>
      <c r="E183" s="42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42"/>
      <c r="C184" s="35"/>
      <c r="D184" s="35"/>
      <c r="E184" s="42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42"/>
      <c r="C185" s="35"/>
      <c r="D185" s="35"/>
      <c r="E185" s="42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42"/>
      <c r="C186" s="35"/>
      <c r="D186" s="35"/>
      <c r="E186" s="42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42"/>
      <c r="C187" s="35"/>
      <c r="D187" s="35"/>
      <c r="E187" s="42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42"/>
      <c r="C188" s="35"/>
      <c r="D188" s="35"/>
      <c r="E188" s="42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42"/>
      <c r="C189" s="35"/>
      <c r="D189" s="35"/>
      <c r="E189" s="42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42"/>
      <c r="C190" s="35"/>
      <c r="D190" s="35"/>
      <c r="E190" s="42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42"/>
      <c r="C191" s="35"/>
      <c r="D191" s="35"/>
      <c r="E191" s="42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42"/>
      <c r="C192" s="35"/>
      <c r="D192" s="35"/>
      <c r="E192" s="42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42"/>
      <c r="C193" s="35"/>
      <c r="D193" s="35"/>
      <c r="E193" s="42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42"/>
      <c r="C194" s="35"/>
      <c r="D194" s="35"/>
      <c r="E194" s="42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42"/>
      <c r="C195" s="35"/>
      <c r="D195" s="35"/>
      <c r="E195" s="42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42"/>
      <c r="C196" s="35"/>
      <c r="D196" s="35"/>
      <c r="E196" s="42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42"/>
      <c r="C197" s="35"/>
      <c r="D197" s="35"/>
      <c r="E197" s="42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42"/>
      <c r="C198" s="35"/>
      <c r="D198" s="35"/>
      <c r="E198" s="42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42"/>
      <c r="C199" s="35"/>
      <c r="D199" s="35"/>
      <c r="E199" s="42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42"/>
      <c r="C200" s="35"/>
      <c r="D200" s="35"/>
      <c r="E200" s="42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42"/>
      <c r="C201" s="35"/>
      <c r="D201" s="35"/>
      <c r="E201" s="42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42"/>
      <c r="C202" s="35"/>
      <c r="D202" s="35"/>
      <c r="E202" s="42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42"/>
      <c r="C203" s="35"/>
      <c r="D203" s="35"/>
      <c r="E203" s="42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42"/>
      <c r="C204" s="35"/>
      <c r="D204" s="35"/>
      <c r="E204" s="42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42"/>
      <c r="C205" s="35"/>
      <c r="D205" s="35"/>
      <c r="E205" s="42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42"/>
      <c r="C206" s="35"/>
      <c r="D206" s="35"/>
      <c r="E206" s="42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42"/>
      <c r="C207" s="35"/>
      <c r="D207" s="35"/>
      <c r="E207" s="42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42"/>
      <c r="C208" s="35"/>
      <c r="D208" s="35"/>
      <c r="E208" s="42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42"/>
      <c r="C209" s="35"/>
      <c r="D209" s="35"/>
      <c r="E209" s="42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42"/>
      <c r="C210" s="35"/>
      <c r="D210" s="35"/>
      <c r="E210" s="42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42"/>
      <c r="C211" s="35"/>
      <c r="D211" s="35"/>
      <c r="E211" s="42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42"/>
      <c r="C212" s="35"/>
      <c r="D212" s="35"/>
      <c r="E212" s="42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42"/>
      <c r="C213" s="35"/>
      <c r="D213" s="35"/>
      <c r="E213" s="42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42"/>
      <c r="C214" s="35"/>
      <c r="D214" s="35"/>
      <c r="E214" s="42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42"/>
      <c r="C215" s="35"/>
      <c r="D215" s="35"/>
      <c r="E215" s="42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42"/>
      <c r="C216" s="35"/>
      <c r="D216" s="35"/>
      <c r="E216" s="42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42"/>
      <c r="C217" s="35"/>
      <c r="D217" s="35"/>
      <c r="E217" s="42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42"/>
      <c r="C218" s="35"/>
      <c r="D218" s="35"/>
      <c r="E218" s="42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42"/>
      <c r="C219" s="35"/>
      <c r="D219" s="35"/>
      <c r="E219" s="42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42"/>
      <c r="C220" s="35"/>
      <c r="D220" s="35"/>
      <c r="E220" s="42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42"/>
      <c r="C221" s="35"/>
      <c r="D221" s="35"/>
      <c r="E221" s="42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42"/>
      <c r="C222" s="35"/>
      <c r="D222" s="35"/>
      <c r="E222" s="42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42"/>
      <c r="C223" s="35"/>
      <c r="D223" s="35"/>
      <c r="E223" s="42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42"/>
      <c r="C224" s="35"/>
      <c r="D224" s="35"/>
      <c r="E224" s="42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42"/>
      <c r="C225" s="35"/>
      <c r="D225" s="35"/>
      <c r="E225" s="42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42"/>
      <c r="C226" s="35"/>
      <c r="D226" s="35"/>
      <c r="E226" s="42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42"/>
      <c r="C227" s="35"/>
      <c r="D227" s="35"/>
      <c r="E227" s="42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42"/>
      <c r="C228" s="35"/>
      <c r="D228" s="35"/>
      <c r="E228" s="42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42"/>
      <c r="C229" s="35"/>
      <c r="D229" s="35"/>
      <c r="E229" s="42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42"/>
      <c r="C230" s="35"/>
      <c r="D230" s="35"/>
      <c r="E230" s="42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42"/>
      <c r="C231" s="35"/>
      <c r="D231" s="35"/>
      <c r="E231" s="42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42"/>
      <c r="C232" s="35"/>
      <c r="D232" s="35"/>
      <c r="E232" s="42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42"/>
      <c r="C233" s="35"/>
      <c r="D233" s="35"/>
      <c r="E233" s="42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42"/>
      <c r="C234" s="35"/>
      <c r="D234" s="35"/>
      <c r="E234" s="42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42"/>
      <c r="C235" s="35"/>
      <c r="D235" s="35"/>
      <c r="E235" s="42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42"/>
      <c r="C236" s="35"/>
      <c r="D236" s="35"/>
      <c r="E236" s="42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42"/>
      <c r="C237" s="35"/>
      <c r="D237" s="35"/>
      <c r="E237" s="42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42"/>
      <c r="C238" s="35"/>
      <c r="D238" s="35"/>
      <c r="E238" s="42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42"/>
      <c r="C239" s="35"/>
      <c r="D239" s="35"/>
      <c r="E239" s="42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42"/>
      <c r="C240" s="35"/>
      <c r="D240" s="35"/>
      <c r="E240" s="42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42"/>
      <c r="C241" s="35"/>
      <c r="D241" s="35"/>
      <c r="E241" s="42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42"/>
      <c r="C242" s="35"/>
      <c r="D242" s="35"/>
      <c r="E242" s="42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42"/>
      <c r="C243" s="35"/>
      <c r="D243" s="35"/>
      <c r="E243" s="42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42"/>
      <c r="C244" s="35"/>
      <c r="D244" s="35"/>
      <c r="E244" s="42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42"/>
      <c r="C245" s="35"/>
      <c r="D245" s="35"/>
      <c r="E245" s="42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42"/>
      <c r="C246" s="35"/>
      <c r="D246" s="35"/>
      <c r="E246" s="42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42"/>
      <c r="C247" s="35"/>
      <c r="D247" s="35"/>
      <c r="E247" s="42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42"/>
      <c r="C248" s="35"/>
      <c r="D248" s="35"/>
      <c r="E248" s="42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42"/>
      <c r="C249" s="35"/>
      <c r="D249" s="35"/>
      <c r="E249" s="42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42"/>
      <c r="C250" s="35"/>
      <c r="D250" s="35"/>
      <c r="E250" s="42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42"/>
      <c r="C251" s="35"/>
      <c r="D251" s="35"/>
      <c r="E251" s="42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42"/>
      <c r="C252" s="35"/>
      <c r="D252" s="35"/>
      <c r="E252" s="42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42"/>
      <c r="C253" s="35"/>
      <c r="D253" s="35"/>
      <c r="E253" s="42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42"/>
      <c r="C254" s="35"/>
      <c r="D254" s="35"/>
      <c r="E254" s="42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42"/>
      <c r="C255" s="35"/>
      <c r="D255" s="35"/>
      <c r="E255" s="42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42"/>
      <c r="C256" s="35"/>
      <c r="D256" s="35"/>
      <c r="E256" s="42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42"/>
      <c r="C257" s="35"/>
      <c r="D257" s="35"/>
      <c r="E257" s="42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42"/>
      <c r="C258" s="35"/>
      <c r="D258" s="35"/>
      <c r="E258" s="42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42"/>
      <c r="C259" s="35"/>
      <c r="D259" s="35"/>
      <c r="E259" s="42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42"/>
      <c r="C260" s="35"/>
      <c r="D260" s="35"/>
      <c r="E260" s="42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42"/>
      <c r="C261" s="35"/>
      <c r="D261" s="35"/>
      <c r="E261" s="42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42"/>
      <c r="C262" s="35"/>
      <c r="D262" s="35"/>
      <c r="E262" s="42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42"/>
      <c r="C263" s="35"/>
      <c r="D263" s="35"/>
      <c r="E263" s="42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42"/>
      <c r="C264" s="35"/>
      <c r="D264" s="35"/>
      <c r="E264" s="42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42"/>
      <c r="C265" s="35"/>
      <c r="D265" s="35"/>
      <c r="E265" s="42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42"/>
      <c r="C266" s="35"/>
      <c r="D266" s="35"/>
      <c r="E266" s="42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42"/>
      <c r="C267" s="35"/>
      <c r="D267" s="35"/>
      <c r="E267" s="42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42"/>
      <c r="C268" s="35"/>
      <c r="D268" s="35"/>
      <c r="E268" s="42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42"/>
      <c r="C269" s="35"/>
      <c r="D269" s="35"/>
      <c r="E269" s="42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42"/>
      <c r="C270" s="35"/>
      <c r="D270" s="35"/>
      <c r="E270" s="42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42"/>
      <c r="C271" s="35"/>
      <c r="D271" s="35"/>
      <c r="E271" s="42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42"/>
      <c r="C272" s="35"/>
      <c r="D272" s="35"/>
      <c r="E272" s="42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42"/>
      <c r="C273" s="35"/>
      <c r="D273" s="35"/>
      <c r="E273" s="42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42"/>
      <c r="C274" s="35"/>
      <c r="D274" s="35"/>
      <c r="E274" s="42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42"/>
      <c r="C275" s="35"/>
      <c r="D275" s="35"/>
      <c r="E275" s="42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42"/>
      <c r="C276" s="35"/>
      <c r="D276" s="35"/>
      <c r="E276" s="42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42"/>
      <c r="C277" s="35"/>
      <c r="D277" s="35"/>
      <c r="E277" s="42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42"/>
      <c r="C278" s="35"/>
      <c r="D278" s="35"/>
      <c r="E278" s="42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42"/>
      <c r="C279" s="35"/>
      <c r="D279" s="35"/>
      <c r="E279" s="42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42"/>
      <c r="C280" s="35"/>
      <c r="D280" s="35"/>
      <c r="E280" s="42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42"/>
      <c r="C281" s="35"/>
      <c r="D281" s="35"/>
      <c r="E281" s="42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42"/>
      <c r="C282" s="35"/>
      <c r="D282" s="35"/>
      <c r="E282" s="42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42"/>
      <c r="C283" s="35"/>
      <c r="D283" s="35"/>
      <c r="E283" s="42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42"/>
      <c r="C284" s="35"/>
      <c r="D284" s="35"/>
      <c r="E284" s="42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42"/>
      <c r="C285" s="35"/>
      <c r="D285" s="35"/>
      <c r="E285" s="42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42"/>
      <c r="C286" s="35"/>
      <c r="D286" s="35"/>
      <c r="E286" s="42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42"/>
      <c r="C287" s="35"/>
      <c r="D287" s="35"/>
      <c r="E287" s="42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42"/>
      <c r="C288" s="35"/>
      <c r="D288" s="35"/>
      <c r="E288" s="42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42"/>
      <c r="C289" s="35"/>
      <c r="D289" s="35"/>
      <c r="E289" s="42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42"/>
      <c r="C290" s="35"/>
      <c r="D290" s="35"/>
      <c r="E290" s="42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42"/>
      <c r="C291" s="35"/>
      <c r="D291" s="35"/>
      <c r="E291" s="42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42"/>
      <c r="C292" s="35"/>
      <c r="D292" s="35"/>
      <c r="E292" s="42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42"/>
      <c r="C293" s="35"/>
      <c r="D293" s="35"/>
      <c r="E293" s="42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42"/>
      <c r="C294" s="35"/>
      <c r="D294" s="35"/>
      <c r="E294" s="42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42"/>
      <c r="C295" s="35"/>
      <c r="D295" s="35"/>
      <c r="E295" s="42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42"/>
      <c r="C296" s="35"/>
      <c r="D296" s="35"/>
      <c r="E296" s="42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42"/>
      <c r="C297" s="35"/>
      <c r="D297" s="35"/>
      <c r="E297" s="42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42"/>
      <c r="C298" s="35"/>
      <c r="D298" s="35"/>
      <c r="E298" s="42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42"/>
      <c r="C299" s="35"/>
      <c r="D299" s="35"/>
      <c r="E299" s="42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42"/>
      <c r="C300" s="35"/>
      <c r="D300" s="35"/>
      <c r="E300" s="42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42"/>
      <c r="C301" s="35"/>
      <c r="D301" s="35"/>
      <c r="E301" s="42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42"/>
      <c r="C302" s="35"/>
      <c r="D302" s="35"/>
      <c r="E302" s="42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42"/>
      <c r="C303" s="35"/>
      <c r="D303" s="35"/>
      <c r="E303" s="42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42"/>
      <c r="C304" s="35"/>
      <c r="D304" s="35"/>
      <c r="E304" s="42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42"/>
      <c r="C305" s="35"/>
      <c r="D305" s="35"/>
      <c r="E305" s="42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42"/>
      <c r="C306" s="35"/>
      <c r="D306" s="35"/>
      <c r="E306" s="42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42"/>
      <c r="C307" s="35"/>
      <c r="D307" s="35"/>
      <c r="E307" s="42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42"/>
      <c r="C308" s="35"/>
      <c r="D308" s="35"/>
      <c r="E308" s="42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42"/>
      <c r="C309" s="35"/>
      <c r="D309" s="35"/>
      <c r="E309" s="42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42"/>
      <c r="C310" s="35"/>
      <c r="D310" s="35"/>
      <c r="E310" s="42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42"/>
      <c r="C311" s="35"/>
      <c r="D311" s="35"/>
      <c r="E311" s="42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42"/>
      <c r="C312" s="35"/>
      <c r="D312" s="35"/>
      <c r="E312" s="42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42"/>
      <c r="C313" s="35"/>
      <c r="D313" s="35"/>
      <c r="E313" s="42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42"/>
      <c r="C314" s="35"/>
      <c r="D314" s="35"/>
      <c r="E314" s="42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42"/>
      <c r="C315" s="35"/>
      <c r="D315" s="35"/>
      <c r="E315" s="42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42"/>
      <c r="C316" s="35"/>
      <c r="D316" s="35"/>
      <c r="E316" s="42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42"/>
      <c r="C317" s="35"/>
      <c r="D317" s="35"/>
      <c r="E317" s="42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42"/>
      <c r="C318" s="35"/>
      <c r="D318" s="35"/>
      <c r="E318" s="42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42"/>
      <c r="C319" s="35"/>
      <c r="D319" s="35"/>
      <c r="E319" s="42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42"/>
      <c r="C320" s="35"/>
      <c r="D320" s="35"/>
      <c r="E320" s="42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42"/>
      <c r="C321" s="35"/>
      <c r="D321" s="35"/>
      <c r="E321" s="42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42"/>
      <c r="C322" s="35"/>
      <c r="D322" s="35"/>
      <c r="E322" s="42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42"/>
      <c r="C323" s="35"/>
      <c r="D323" s="35"/>
      <c r="E323" s="42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42"/>
      <c r="C324" s="35"/>
      <c r="D324" s="35"/>
      <c r="E324" s="42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42"/>
      <c r="C325" s="35"/>
      <c r="D325" s="35"/>
      <c r="E325" s="42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42"/>
      <c r="C326" s="35"/>
      <c r="D326" s="35"/>
      <c r="E326" s="42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42"/>
      <c r="C327" s="35"/>
      <c r="D327" s="35"/>
      <c r="E327" s="42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42"/>
      <c r="C328" s="35"/>
      <c r="D328" s="35"/>
      <c r="E328" s="42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42"/>
      <c r="C329" s="35"/>
      <c r="D329" s="35"/>
      <c r="E329" s="42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42"/>
      <c r="C330" s="35"/>
      <c r="D330" s="35"/>
      <c r="E330" s="42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42"/>
      <c r="C331" s="35"/>
      <c r="D331" s="35"/>
      <c r="E331" s="42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42"/>
      <c r="C332" s="35"/>
      <c r="D332" s="35"/>
      <c r="E332" s="42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42"/>
      <c r="C333" s="35"/>
      <c r="D333" s="35"/>
      <c r="E333" s="42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42"/>
      <c r="C334" s="35"/>
      <c r="D334" s="35"/>
      <c r="E334" s="42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42"/>
      <c r="C335" s="35"/>
      <c r="D335" s="35"/>
      <c r="E335" s="42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42"/>
      <c r="C336" s="35"/>
      <c r="D336" s="35"/>
      <c r="E336" s="42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42"/>
      <c r="C337" s="35"/>
      <c r="D337" s="35"/>
      <c r="E337" s="42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42"/>
      <c r="C338" s="35"/>
      <c r="D338" s="35"/>
      <c r="E338" s="42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42"/>
      <c r="C339" s="35"/>
      <c r="D339" s="35"/>
      <c r="E339" s="42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42"/>
      <c r="C340" s="35"/>
      <c r="D340" s="35"/>
      <c r="E340" s="42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42"/>
      <c r="C341" s="35"/>
      <c r="D341" s="35"/>
      <c r="E341" s="42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42"/>
      <c r="C342" s="35"/>
      <c r="D342" s="35"/>
      <c r="E342" s="42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42"/>
      <c r="C343" s="35"/>
      <c r="D343" s="35"/>
      <c r="E343" s="42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42"/>
      <c r="C344" s="35"/>
      <c r="D344" s="35"/>
      <c r="E344" s="42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42"/>
      <c r="C345" s="35"/>
      <c r="D345" s="35"/>
      <c r="E345" s="42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42"/>
      <c r="C346" s="35"/>
      <c r="D346" s="35"/>
      <c r="E346" s="42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42"/>
      <c r="C347" s="35"/>
      <c r="D347" s="35"/>
      <c r="E347" s="42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42"/>
      <c r="C348" s="35"/>
      <c r="D348" s="35"/>
      <c r="E348" s="42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42"/>
      <c r="C349" s="35"/>
      <c r="D349" s="35"/>
      <c r="E349" s="42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42"/>
      <c r="C350" s="35"/>
      <c r="D350" s="35"/>
      <c r="E350" s="42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42"/>
      <c r="C351" s="35"/>
      <c r="D351" s="35"/>
      <c r="E351" s="42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42"/>
      <c r="C352" s="35"/>
      <c r="D352" s="35"/>
      <c r="E352" s="42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42"/>
      <c r="C353" s="35"/>
      <c r="D353" s="35"/>
      <c r="E353" s="42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42"/>
      <c r="C354" s="35"/>
      <c r="D354" s="35"/>
      <c r="E354" s="42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42"/>
      <c r="C355" s="35"/>
      <c r="D355" s="35"/>
      <c r="E355" s="42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42"/>
      <c r="C356" s="35"/>
      <c r="D356" s="35"/>
      <c r="E356" s="42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42"/>
      <c r="C357" s="35"/>
      <c r="D357" s="35"/>
      <c r="E357" s="42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42"/>
      <c r="C358" s="35"/>
      <c r="D358" s="35"/>
      <c r="E358" s="42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42"/>
      <c r="C359" s="35"/>
      <c r="D359" s="35"/>
      <c r="E359" s="42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42"/>
      <c r="C360" s="35"/>
      <c r="D360" s="35"/>
      <c r="E360" s="42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42"/>
      <c r="C361" s="35"/>
      <c r="D361" s="35"/>
      <c r="E361" s="42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42"/>
      <c r="C362" s="35"/>
      <c r="D362" s="35"/>
      <c r="E362" s="42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42"/>
      <c r="C363" s="35"/>
      <c r="D363" s="35"/>
      <c r="E363" s="42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42"/>
      <c r="C364" s="35"/>
      <c r="D364" s="35"/>
      <c r="E364" s="42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42"/>
      <c r="C365" s="35"/>
      <c r="D365" s="35"/>
      <c r="E365" s="42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42"/>
      <c r="C366" s="35"/>
      <c r="D366" s="35"/>
      <c r="E366" s="42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42"/>
      <c r="C367" s="35"/>
      <c r="D367" s="35"/>
      <c r="E367" s="42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42"/>
      <c r="C368" s="35"/>
      <c r="D368" s="35"/>
      <c r="E368" s="42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42"/>
      <c r="C369" s="35"/>
      <c r="D369" s="35"/>
      <c r="E369" s="42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42"/>
      <c r="C370" s="35"/>
      <c r="D370" s="35"/>
      <c r="E370" s="42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42"/>
      <c r="C371" s="35"/>
      <c r="D371" s="35"/>
      <c r="E371" s="42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42"/>
      <c r="C372" s="35"/>
      <c r="D372" s="35"/>
      <c r="E372" s="42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42"/>
      <c r="C373" s="35"/>
      <c r="D373" s="35"/>
      <c r="E373" s="42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42"/>
      <c r="C374" s="35"/>
      <c r="D374" s="35"/>
      <c r="E374" s="42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42"/>
      <c r="C375" s="35"/>
      <c r="D375" s="35"/>
      <c r="E375" s="42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42"/>
      <c r="C376" s="35"/>
      <c r="D376" s="35"/>
      <c r="E376" s="42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42"/>
      <c r="C377" s="35"/>
      <c r="D377" s="35"/>
      <c r="E377" s="42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42"/>
      <c r="C378" s="35"/>
      <c r="D378" s="35"/>
      <c r="E378" s="42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42"/>
      <c r="C379" s="35"/>
      <c r="D379" s="35"/>
      <c r="E379" s="42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42"/>
      <c r="C380" s="35"/>
      <c r="D380" s="35"/>
      <c r="E380" s="42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42"/>
      <c r="C381" s="35"/>
      <c r="D381" s="35"/>
      <c r="E381" s="42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42"/>
      <c r="C382" s="35"/>
      <c r="D382" s="35"/>
      <c r="E382" s="42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42"/>
      <c r="C383" s="35"/>
      <c r="D383" s="35"/>
      <c r="E383" s="42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42"/>
      <c r="C384" s="35"/>
      <c r="D384" s="35"/>
      <c r="E384" s="42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42"/>
      <c r="C385" s="35"/>
      <c r="D385" s="35"/>
      <c r="E385" s="42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42"/>
      <c r="C386" s="35"/>
      <c r="D386" s="35"/>
      <c r="E386" s="42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42"/>
      <c r="C387" s="35"/>
      <c r="D387" s="35"/>
      <c r="E387" s="42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42"/>
      <c r="C388" s="35"/>
      <c r="D388" s="35"/>
      <c r="E388" s="42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42"/>
      <c r="C389" s="35"/>
      <c r="D389" s="35"/>
      <c r="E389" s="42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42"/>
      <c r="C390" s="35"/>
      <c r="D390" s="35"/>
      <c r="E390" s="42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42"/>
      <c r="C391" s="35"/>
      <c r="D391" s="35"/>
      <c r="E391" s="42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42"/>
      <c r="C392" s="35"/>
      <c r="D392" s="35"/>
      <c r="E392" s="42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42"/>
      <c r="C393" s="35"/>
      <c r="D393" s="35"/>
      <c r="E393" s="42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42"/>
      <c r="C394" s="35"/>
      <c r="D394" s="35"/>
      <c r="E394" s="42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42"/>
      <c r="C395" s="35"/>
      <c r="D395" s="35"/>
      <c r="E395" s="42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42"/>
      <c r="C396" s="35"/>
      <c r="D396" s="35"/>
      <c r="E396" s="42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42"/>
      <c r="C397" s="35"/>
      <c r="D397" s="35"/>
      <c r="E397" s="42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42"/>
      <c r="C398" s="35"/>
      <c r="D398" s="35"/>
      <c r="E398" s="42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42"/>
      <c r="C399" s="35"/>
      <c r="D399" s="35"/>
      <c r="E399" s="42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42"/>
      <c r="C400" s="35"/>
      <c r="D400" s="35"/>
      <c r="E400" s="42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42"/>
      <c r="C401" s="35"/>
      <c r="D401" s="35"/>
      <c r="E401" s="42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42"/>
      <c r="C402" s="35"/>
      <c r="D402" s="35"/>
      <c r="E402" s="42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42"/>
      <c r="C403" s="35"/>
      <c r="D403" s="35"/>
      <c r="E403" s="42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42"/>
      <c r="C404" s="35"/>
      <c r="D404" s="35"/>
      <c r="E404" s="42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42"/>
      <c r="C405" s="35"/>
      <c r="D405" s="35"/>
      <c r="E405" s="42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42"/>
      <c r="C406" s="35"/>
      <c r="D406" s="35"/>
      <c r="E406" s="42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42"/>
      <c r="C407" s="35"/>
      <c r="D407" s="35"/>
      <c r="E407" s="42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42"/>
      <c r="C408" s="35"/>
      <c r="D408" s="35"/>
      <c r="E408" s="42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42"/>
      <c r="C409" s="35"/>
      <c r="D409" s="35"/>
      <c r="E409" s="42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42"/>
      <c r="C410" s="35"/>
      <c r="D410" s="35"/>
      <c r="E410" s="42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42"/>
      <c r="C411" s="35"/>
      <c r="D411" s="35"/>
      <c r="E411" s="42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42"/>
      <c r="C412" s="35"/>
      <c r="D412" s="35"/>
      <c r="E412" s="42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42"/>
      <c r="C413" s="35"/>
      <c r="D413" s="35"/>
      <c r="E413" s="42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42"/>
      <c r="C414" s="35"/>
      <c r="D414" s="35"/>
      <c r="E414" s="42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42"/>
      <c r="C415" s="35"/>
      <c r="D415" s="35"/>
      <c r="E415" s="42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42"/>
      <c r="C416" s="35"/>
      <c r="D416" s="35"/>
      <c r="E416" s="42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42"/>
      <c r="C417" s="35"/>
      <c r="D417" s="35"/>
      <c r="E417" s="42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42"/>
      <c r="C418" s="35"/>
      <c r="D418" s="35"/>
      <c r="E418" s="42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42"/>
      <c r="C419" s="35"/>
      <c r="D419" s="35"/>
      <c r="E419" s="42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42"/>
      <c r="C420" s="35"/>
      <c r="D420" s="35"/>
      <c r="E420" s="42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42"/>
      <c r="C421" s="35"/>
      <c r="D421" s="35"/>
      <c r="E421" s="42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42"/>
      <c r="C422" s="35"/>
      <c r="D422" s="35"/>
      <c r="E422" s="42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42"/>
      <c r="C423" s="35"/>
      <c r="D423" s="35"/>
      <c r="E423" s="42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42"/>
      <c r="C424" s="35"/>
      <c r="D424" s="35"/>
      <c r="E424" s="42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42"/>
      <c r="C425" s="35"/>
      <c r="D425" s="35"/>
      <c r="E425" s="42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42"/>
      <c r="C426" s="35"/>
      <c r="D426" s="35"/>
      <c r="E426" s="42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42"/>
      <c r="C427" s="35"/>
      <c r="D427" s="35"/>
      <c r="E427" s="42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42"/>
      <c r="C428" s="35"/>
      <c r="D428" s="35"/>
      <c r="E428" s="42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42"/>
      <c r="C429" s="35"/>
      <c r="D429" s="35"/>
      <c r="E429" s="42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42"/>
      <c r="C430" s="35"/>
      <c r="D430" s="35"/>
      <c r="E430" s="42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42"/>
      <c r="C431" s="35"/>
      <c r="D431" s="35"/>
      <c r="E431" s="42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42"/>
      <c r="C432" s="35"/>
      <c r="D432" s="35"/>
      <c r="E432" s="42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42"/>
      <c r="C433" s="35"/>
      <c r="D433" s="35"/>
      <c r="E433" s="42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42"/>
      <c r="C434" s="35"/>
      <c r="D434" s="35"/>
      <c r="E434" s="42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42"/>
      <c r="C435" s="35"/>
      <c r="D435" s="35"/>
      <c r="E435" s="42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42"/>
      <c r="C436" s="35"/>
      <c r="D436" s="35"/>
      <c r="E436" s="42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42"/>
      <c r="C437" s="35"/>
      <c r="D437" s="35"/>
      <c r="E437" s="42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42"/>
      <c r="C438" s="35"/>
      <c r="D438" s="35"/>
      <c r="E438" s="42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42"/>
      <c r="C439" s="35"/>
      <c r="D439" s="35"/>
      <c r="E439" s="42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42"/>
      <c r="C440" s="35"/>
      <c r="D440" s="35"/>
      <c r="E440" s="42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42"/>
      <c r="C441" s="35"/>
      <c r="D441" s="35"/>
      <c r="E441" s="42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42"/>
      <c r="C442" s="35"/>
      <c r="D442" s="35"/>
      <c r="E442" s="42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42"/>
      <c r="C443" s="35"/>
      <c r="D443" s="35"/>
      <c r="E443" s="42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42"/>
      <c r="C444" s="35"/>
      <c r="D444" s="35"/>
      <c r="E444" s="42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42"/>
      <c r="C445" s="35"/>
      <c r="D445" s="35"/>
      <c r="E445" s="42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42"/>
      <c r="C446" s="35"/>
      <c r="D446" s="35"/>
      <c r="E446" s="42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42"/>
      <c r="C447" s="35"/>
      <c r="D447" s="35"/>
      <c r="E447" s="42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42"/>
      <c r="C448" s="35"/>
      <c r="D448" s="35"/>
      <c r="E448" s="42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42"/>
      <c r="C449" s="35"/>
      <c r="D449" s="35"/>
      <c r="E449" s="42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42"/>
      <c r="C450" s="35"/>
      <c r="D450" s="35"/>
      <c r="E450" s="42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42"/>
      <c r="C451" s="35"/>
      <c r="D451" s="35"/>
      <c r="E451" s="42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42"/>
      <c r="C452" s="35"/>
      <c r="D452" s="35"/>
      <c r="E452" s="42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42"/>
      <c r="C453" s="35"/>
      <c r="D453" s="35"/>
      <c r="E453" s="42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42"/>
      <c r="C454" s="35"/>
      <c r="D454" s="35"/>
      <c r="E454" s="42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42"/>
      <c r="C455" s="35"/>
      <c r="D455" s="35"/>
      <c r="E455" s="42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42"/>
      <c r="C456" s="35"/>
      <c r="D456" s="35"/>
      <c r="E456" s="42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42"/>
      <c r="C457" s="35"/>
      <c r="D457" s="35"/>
      <c r="E457" s="42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42"/>
      <c r="C458" s="35"/>
      <c r="D458" s="35"/>
      <c r="E458" s="42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42"/>
      <c r="C459" s="35"/>
      <c r="D459" s="35"/>
      <c r="E459" s="42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42"/>
      <c r="C460" s="35"/>
      <c r="D460" s="35"/>
      <c r="E460" s="42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42"/>
      <c r="C461" s="35"/>
      <c r="D461" s="35"/>
      <c r="E461" s="42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42"/>
      <c r="C462" s="35"/>
      <c r="D462" s="35"/>
      <c r="E462" s="42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42"/>
      <c r="C463" s="35"/>
      <c r="D463" s="35"/>
      <c r="E463" s="42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42"/>
      <c r="C464" s="35"/>
      <c r="D464" s="35"/>
      <c r="E464" s="42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42"/>
      <c r="C465" s="35"/>
      <c r="D465" s="35"/>
      <c r="E465" s="42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42"/>
      <c r="C466" s="35"/>
      <c r="D466" s="35"/>
      <c r="E466" s="42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42"/>
      <c r="C467" s="35"/>
      <c r="D467" s="35"/>
      <c r="E467" s="42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42"/>
      <c r="C468" s="35"/>
      <c r="D468" s="35"/>
      <c r="E468" s="42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42"/>
      <c r="C469" s="35"/>
      <c r="D469" s="35"/>
      <c r="E469" s="42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42"/>
      <c r="C470" s="35"/>
      <c r="D470" s="35"/>
      <c r="E470" s="42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42"/>
      <c r="C471" s="35"/>
      <c r="D471" s="35"/>
      <c r="E471" s="42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42"/>
      <c r="C472" s="35"/>
      <c r="D472" s="35"/>
      <c r="E472" s="42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42"/>
      <c r="C473" s="35"/>
      <c r="D473" s="35"/>
      <c r="E473" s="42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42"/>
      <c r="C474" s="35"/>
      <c r="D474" s="35"/>
      <c r="E474" s="42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42"/>
      <c r="C475" s="35"/>
      <c r="D475" s="35"/>
      <c r="E475" s="42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42"/>
      <c r="C476" s="35"/>
      <c r="D476" s="35"/>
      <c r="E476" s="42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42"/>
      <c r="C477" s="35"/>
      <c r="D477" s="35"/>
      <c r="E477" s="42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42"/>
      <c r="C478" s="35"/>
      <c r="D478" s="35"/>
      <c r="E478" s="42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42"/>
      <c r="C479" s="35"/>
      <c r="D479" s="35"/>
      <c r="E479" s="42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42"/>
      <c r="C480" s="35"/>
      <c r="D480" s="35"/>
      <c r="E480" s="42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42"/>
      <c r="C481" s="35"/>
      <c r="D481" s="35"/>
      <c r="E481" s="42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42"/>
      <c r="C482" s="35"/>
      <c r="D482" s="35"/>
      <c r="E482" s="42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42"/>
      <c r="C483" s="35"/>
      <c r="D483" s="35"/>
      <c r="E483" s="42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42"/>
      <c r="C484" s="35"/>
      <c r="D484" s="35"/>
      <c r="E484" s="42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42"/>
      <c r="C485" s="35"/>
      <c r="D485" s="35"/>
      <c r="E485" s="42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42"/>
      <c r="C486" s="35"/>
      <c r="D486" s="35"/>
      <c r="E486" s="42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42"/>
      <c r="C487" s="35"/>
      <c r="D487" s="35"/>
      <c r="E487" s="42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42"/>
      <c r="C488" s="35"/>
      <c r="D488" s="35"/>
      <c r="E488" s="42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42"/>
      <c r="C489" s="35"/>
      <c r="D489" s="35"/>
      <c r="E489" s="42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42"/>
      <c r="C490" s="35"/>
      <c r="D490" s="35"/>
      <c r="E490" s="42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42"/>
      <c r="C491" s="35"/>
      <c r="D491" s="35"/>
      <c r="E491" s="42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42"/>
      <c r="C492" s="35"/>
      <c r="D492" s="35"/>
      <c r="E492" s="42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42"/>
      <c r="C493" s="35"/>
      <c r="D493" s="35"/>
      <c r="E493" s="42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42"/>
      <c r="C494" s="35"/>
      <c r="D494" s="35"/>
      <c r="E494" s="42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42"/>
      <c r="C495" s="35"/>
      <c r="D495" s="35"/>
      <c r="E495" s="42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42"/>
      <c r="C496" s="35"/>
      <c r="D496" s="35"/>
      <c r="E496" s="42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42"/>
      <c r="C497" s="35"/>
      <c r="D497" s="35"/>
      <c r="E497" s="42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42"/>
      <c r="C498" s="35"/>
      <c r="D498" s="35"/>
      <c r="E498" s="42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42"/>
      <c r="C499" s="35"/>
      <c r="D499" s="35"/>
      <c r="E499" s="42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42"/>
      <c r="C500" s="35"/>
      <c r="D500" s="35"/>
      <c r="E500" s="42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42"/>
      <c r="C501" s="35"/>
      <c r="D501" s="35"/>
      <c r="E501" s="42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42"/>
      <c r="C502" s="35"/>
      <c r="D502" s="35"/>
      <c r="E502" s="42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42"/>
      <c r="C503" s="35"/>
      <c r="D503" s="35"/>
      <c r="E503" s="42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42"/>
      <c r="C504" s="35"/>
      <c r="D504" s="35"/>
      <c r="E504" s="42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42"/>
      <c r="C505" s="35"/>
      <c r="D505" s="35"/>
      <c r="E505" s="42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42"/>
      <c r="C506" s="35"/>
      <c r="D506" s="35"/>
      <c r="E506" s="42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42"/>
      <c r="C507" s="35"/>
      <c r="D507" s="35"/>
      <c r="E507" s="42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42"/>
      <c r="C508" s="35"/>
      <c r="D508" s="35"/>
      <c r="E508" s="42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42"/>
      <c r="C509" s="35"/>
      <c r="D509" s="35"/>
      <c r="E509" s="42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42"/>
      <c r="C510" s="35"/>
      <c r="D510" s="35"/>
      <c r="E510" s="42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42"/>
      <c r="C511" s="35"/>
      <c r="D511" s="35"/>
      <c r="E511" s="42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42"/>
      <c r="C512" s="35"/>
      <c r="D512" s="35"/>
      <c r="E512" s="42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42"/>
      <c r="C513" s="35"/>
      <c r="D513" s="35"/>
      <c r="E513" s="42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42"/>
      <c r="C514" s="35"/>
      <c r="D514" s="35"/>
      <c r="E514" s="42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42"/>
      <c r="C515" s="35"/>
      <c r="D515" s="35"/>
      <c r="E515" s="42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42"/>
      <c r="C516" s="35"/>
      <c r="D516" s="35"/>
      <c r="E516" s="42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42"/>
      <c r="C517" s="35"/>
      <c r="D517" s="35"/>
      <c r="E517" s="42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42"/>
      <c r="C518" s="35"/>
      <c r="D518" s="35"/>
      <c r="E518" s="42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42"/>
      <c r="C519" s="35"/>
      <c r="D519" s="35"/>
      <c r="E519" s="42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42"/>
      <c r="C520" s="35"/>
      <c r="D520" s="35"/>
      <c r="E520" s="42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42"/>
      <c r="C521" s="35"/>
      <c r="D521" s="35"/>
      <c r="E521" s="42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42"/>
      <c r="C522" s="35"/>
      <c r="D522" s="35"/>
      <c r="E522" s="42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42"/>
      <c r="C523" s="35"/>
      <c r="D523" s="35"/>
      <c r="E523" s="42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42"/>
      <c r="C524" s="35"/>
      <c r="D524" s="35"/>
      <c r="E524" s="42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42"/>
      <c r="C525" s="35"/>
      <c r="D525" s="35"/>
      <c r="E525" s="42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42"/>
      <c r="C526" s="35"/>
      <c r="D526" s="35"/>
      <c r="E526" s="42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42"/>
      <c r="C527" s="35"/>
      <c r="D527" s="35"/>
      <c r="E527" s="42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42"/>
      <c r="C528" s="35"/>
      <c r="D528" s="35"/>
      <c r="E528" s="42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42"/>
      <c r="C529" s="35"/>
      <c r="D529" s="35"/>
      <c r="E529" s="42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42"/>
      <c r="C530" s="35"/>
      <c r="D530" s="35"/>
      <c r="E530" s="42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42"/>
      <c r="C531" s="35"/>
      <c r="D531" s="35"/>
      <c r="E531" s="42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42"/>
      <c r="C532" s="35"/>
      <c r="D532" s="35"/>
      <c r="E532" s="42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42"/>
      <c r="C533" s="35"/>
      <c r="D533" s="35"/>
      <c r="E533" s="42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42"/>
      <c r="C534" s="35"/>
      <c r="D534" s="35"/>
      <c r="E534" s="42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42"/>
      <c r="C535" s="35"/>
      <c r="D535" s="35"/>
      <c r="E535" s="42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42"/>
      <c r="C536" s="35"/>
      <c r="D536" s="35"/>
      <c r="E536" s="42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42"/>
      <c r="C537" s="35"/>
      <c r="D537" s="35"/>
      <c r="E537" s="42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42"/>
      <c r="C538" s="35"/>
      <c r="D538" s="35"/>
      <c r="E538" s="42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42"/>
      <c r="C539" s="35"/>
      <c r="D539" s="35"/>
      <c r="E539" s="42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42"/>
      <c r="C540" s="35"/>
      <c r="D540" s="35"/>
      <c r="E540" s="42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42"/>
      <c r="C541" s="35"/>
      <c r="D541" s="35"/>
      <c r="E541" s="42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42"/>
      <c r="C542" s="35"/>
      <c r="D542" s="35"/>
      <c r="E542" s="42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42"/>
      <c r="C543" s="35"/>
      <c r="D543" s="35"/>
      <c r="E543" s="42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42"/>
      <c r="C544" s="35"/>
      <c r="D544" s="35"/>
      <c r="E544" s="42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42"/>
      <c r="C545" s="35"/>
      <c r="D545" s="35"/>
      <c r="E545" s="42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42"/>
      <c r="C546" s="35"/>
      <c r="D546" s="35"/>
      <c r="E546" s="42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42"/>
      <c r="C547" s="35"/>
      <c r="D547" s="35"/>
      <c r="E547" s="42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42"/>
      <c r="C548" s="35"/>
      <c r="D548" s="35"/>
      <c r="E548" s="42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42"/>
      <c r="C549" s="35"/>
      <c r="D549" s="35"/>
      <c r="E549" s="42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42"/>
      <c r="C550" s="35"/>
      <c r="D550" s="35"/>
      <c r="E550" s="42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42"/>
      <c r="C551" s="35"/>
      <c r="D551" s="35"/>
      <c r="E551" s="42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42"/>
      <c r="C552" s="35"/>
      <c r="D552" s="35"/>
      <c r="E552" s="42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42"/>
      <c r="C553" s="35"/>
      <c r="D553" s="35"/>
      <c r="E553" s="42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42"/>
      <c r="C554" s="35"/>
      <c r="D554" s="35"/>
      <c r="E554" s="42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42"/>
      <c r="C555" s="35"/>
      <c r="D555" s="35"/>
      <c r="E555" s="42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42"/>
      <c r="C556" s="35"/>
      <c r="D556" s="35"/>
      <c r="E556" s="42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42"/>
      <c r="C557" s="35"/>
      <c r="D557" s="35"/>
      <c r="E557" s="42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42"/>
      <c r="C558" s="35"/>
      <c r="D558" s="35"/>
      <c r="E558" s="42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42"/>
      <c r="C559" s="35"/>
      <c r="D559" s="35"/>
      <c r="E559" s="42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42"/>
      <c r="C560" s="35"/>
      <c r="D560" s="35"/>
      <c r="E560" s="42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42"/>
      <c r="C561" s="35"/>
      <c r="D561" s="35"/>
      <c r="E561" s="42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42"/>
      <c r="C562" s="35"/>
      <c r="D562" s="35"/>
      <c r="E562" s="42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42"/>
      <c r="C563" s="35"/>
      <c r="D563" s="35"/>
      <c r="E563" s="42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42"/>
      <c r="C564" s="35"/>
      <c r="D564" s="35"/>
      <c r="E564" s="42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42"/>
      <c r="C565" s="35"/>
      <c r="D565" s="35"/>
      <c r="E565" s="42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42"/>
      <c r="C566" s="35"/>
      <c r="D566" s="35"/>
      <c r="E566" s="42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42"/>
      <c r="C567" s="35"/>
      <c r="D567" s="35"/>
      <c r="E567" s="42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42"/>
      <c r="C568" s="35"/>
      <c r="D568" s="35"/>
      <c r="E568" s="42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42"/>
      <c r="C569" s="35"/>
      <c r="D569" s="35"/>
      <c r="E569" s="42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42"/>
      <c r="C570" s="35"/>
      <c r="D570" s="35"/>
      <c r="E570" s="42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42"/>
      <c r="C571" s="35"/>
      <c r="D571" s="35"/>
      <c r="E571" s="42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42"/>
      <c r="C572" s="35"/>
      <c r="D572" s="35"/>
      <c r="E572" s="42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42"/>
      <c r="C573" s="35"/>
      <c r="D573" s="35"/>
      <c r="E573" s="42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42"/>
      <c r="C574" s="35"/>
      <c r="D574" s="35"/>
      <c r="E574" s="42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42"/>
      <c r="C575" s="35"/>
      <c r="D575" s="35"/>
      <c r="E575" s="42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42"/>
      <c r="C576" s="35"/>
      <c r="D576" s="35"/>
      <c r="E576" s="42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42"/>
      <c r="C577" s="35"/>
      <c r="D577" s="35"/>
      <c r="E577" s="42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42"/>
      <c r="C578" s="35"/>
      <c r="D578" s="35"/>
      <c r="E578" s="42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42"/>
      <c r="C579" s="35"/>
      <c r="D579" s="35"/>
      <c r="E579" s="42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42"/>
      <c r="C580" s="35"/>
      <c r="D580" s="35"/>
      <c r="E580" s="42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42"/>
      <c r="C581" s="35"/>
      <c r="D581" s="35"/>
      <c r="E581" s="42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42"/>
      <c r="C582" s="35"/>
      <c r="D582" s="35"/>
      <c r="E582" s="42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42"/>
      <c r="C583" s="35"/>
      <c r="D583" s="35"/>
      <c r="E583" s="42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42"/>
      <c r="C584" s="35"/>
      <c r="D584" s="35"/>
      <c r="E584" s="42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42"/>
      <c r="C585" s="35"/>
      <c r="D585" s="35"/>
      <c r="E585" s="42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42"/>
      <c r="C586" s="35"/>
      <c r="D586" s="35"/>
      <c r="E586" s="42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42"/>
      <c r="C587" s="35"/>
      <c r="D587" s="35"/>
      <c r="E587" s="42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42"/>
      <c r="C588" s="35"/>
      <c r="D588" s="35"/>
      <c r="E588" s="42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42"/>
      <c r="C589" s="35"/>
      <c r="D589" s="35"/>
      <c r="E589" s="42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42"/>
      <c r="C590" s="35"/>
      <c r="D590" s="35"/>
      <c r="E590" s="42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42"/>
      <c r="C591" s="35"/>
      <c r="D591" s="35"/>
      <c r="E591" s="42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42"/>
      <c r="C592" s="35"/>
      <c r="D592" s="35"/>
      <c r="E592" s="42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42"/>
      <c r="C593" s="35"/>
      <c r="D593" s="35"/>
      <c r="E593" s="42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42"/>
      <c r="C594" s="35"/>
      <c r="D594" s="35"/>
      <c r="E594" s="42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42"/>
      <c r="C595" s="35"/>
      <c r="D595" s="35"/>
      <c r="E595" s="42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42"/>
      <c r="C596" s="35"/>
      <c r="D596" s="35"/>
      <c r="E596" s="42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42"/>
      <c r="C597" s="35"/>
      <c r="D597" s="35"/>
      <c r="E597" s="42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42"/>
      <c r="C598" s="35"/>
      <c r="D598" s="35"/>
      <c r="E598" s="42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42"/>
      <c r="C599" s="35"/>
      <c r="D599" s="35"/>
      <c r="E599" s="42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42"/>
      <c r="C600" s="35"/>
      <c r="D600" s="35"/>
      <c r="E600" s="42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42"/>
      <c r="C601" s="35"/>
      <c r="D601" s="35"/>
      <c r="E601" s="42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42"/>
      <c r="C602" s="35"/>
      <c r="D602" s="35"/>
      <c r="E602" s="42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42"/>
      <c r="C603" s="35"/>
      <c r="D603" s="35"/>
      <c r="E603" s="42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42"/>
      <c r="C604" s="35"/>
      <c r="D604" s="35"/>
      <c r="E604" s="42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42"/>
      <c r="C605" s="35"/>
      <c r="D605" s="35"/>
      <c r="E605" s="42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42"/>
      <c r="C606" s="35"/>
      <c r="D606" s="35"/>
      <c r="E606" s="42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42"/>
      <c r="C607" s="35"/>
      <c r="D607" s="35"/>
      <c r="E607" s="42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42"/>
      <c r="C608" s="35"/>
      <c r="D608" s="35"/>
      <c r="E608" s="42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42"/>
      <c r="C609" s="35"/>
      <c r="D609" s="35"/>
      <c r="E609" s="42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42"/>
      <c r="C610" s="35"/>
      <c r="D610" s="35"/>
      <c r="E610" s="42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42"/>
      <c r="C611" s="35"/>
      <c r="D611" s="35"/>
      <c r="E611" s="42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42"/>
      <c r="C612" s="35"/>
      <c r="D612" s="35"/>
      <c r="E612" s="42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42"/>
      <c r="C613" s="35"/>
      <c r="D613" s="35"/>
      <c r="E613" s="42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42"/>
      <c r="C614" s="35"/>
      <c r="D614" s="35"/>
      <c r="E614" s="42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42"/>
      <c r="C615" s="35"/>
      <c r="D615" s="35"/>
      <c r="E615" s="42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42"/>
      <c r="C616" s="35"/>
      <c r="D616" s="35"/>
      <c r="E616" s="42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42"/>
      <c r="C617" s="35"/>
      <c r="D617" s="35"/>
      <c r="E617" s="42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42"/>
      <c r="C618" s="35"/>
      <c r="D618" s="35"/>
      <c r="E618" s="42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42"/>
      <c r="C619" s="35"/>
      <c r="D619" s="35"/>
      <c r="E619" s="42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42"/>
      <c r="C620" s="35"/>
      <c r="D620" s="35"/>
      <c r="E620" s="42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42"/>
      <c r="C621" s="35"/>
      <c r="D621" s="35"/>
      <c r="E621" s="42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42"/>
      <c r="C622" s="35"/>
      <c r="D622" s="35"/>
      <c r="E622" s="42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42"/>
      <c r="C623" s="35"/>
      <c r="D623" s="35"/>
      <c r="E623" s="42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42"/>
      <c r="C624" s="35"/>
      <c r="D624" s="35"/>
      <c r="E624" s="42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42"/>
      <c r="C625" s="35"/>
      <c r="D625" s="35"/>
      <c r="E625" s="42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42"/>
      <c r="C626" s="35"/>
      <c r="D626" s="35"/>
      <c r="E626" s="42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42"/>
      <c r="C627" s="35"/>
      <c r="D627" s="35"/>
      <c r="E627" s="42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42"/>
      <c r="C628" s="35"/>
      <c r="D628" s="35"/>
      <c r="E628" s="42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42"/>
      <c r="C629" s="35"/>
      <c r="D629" s="35"/>
      <c r="E629" s="42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42"/>
      <c r="C630" s="35"/>
      <c r="D630" s="35"/>
      <c r="E630" s="42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42"/>
      <c r="C631" s="35"/>
      <c r="D631" s="35"/>
      <c r="E631" s="42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42"/>
      <c r="C632" s="35"/>
      <c r="D632" s="35"/>
      <c r="E632" s="42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42"/>
      <c r="C633" s="35"/>
      <c r="D633" s="35"/>
      <c r="E633" s="42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42"/>
      <c r="C634" s="35"/>
      <c r="D634" s="35"/>
      <c r="E634" s="42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42"/>
      <c r="C635" s="35"/>
      <c r="D635" s="35"/>
      <c r="E635" s="42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42"/>
      <c r="C636" s="35"/>
      <c r="D636" s="35"/>
      <c r="E636" s="42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42"/>
      <c r="C637" s="35"/>
      <c r="D637" s="35"/>
      <c r="E637" s="42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42"/>
      <c r="C638" s="35"/>
      <c r="D638" s="35"/>
      <c r="E638" s="42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42"/>
      <c r="C639" s="35"/>
      <c r="D639" s="35"/>
      <c r="E639" s="42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42"/>
      <c r="C640" s="35"/>
      <c r="D640" s="35"/>
      <c r="E640" s="42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42"/>
      <c r="C641" s="35"/>
      <c r="D641" s="35"/>
      <c r="E641" s="42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42"/>
      <c r="C642" s="35"/>
      <c r="D642" s="35"/>
      <c r="E642" s="42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42"/>
      <c r="C643" s="35"/>
      <c r="D643" s="35"/>
      <c r="E643" s="42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42"/>
      <c r="C644" s="35"/>
      <c r="D644" s="35"/>
      <c r="E644" s="42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42"/>
      <c r="C645" s="35"/>
      <c r="D645" s="35"/>
      <c r="E645" s="42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42"/>
      <c r="C646" s="35"/>
      <c r="D646" s="35"/>
      <c r="E646" s="42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42"/>
      <c r="C647" s="35"/>
      <c r="D647" s="35"/>
      <c r="E647" s="42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42"/>
      <c r="C648" s="35"/>
      <c r="D648" s="35"/>
      <c r="E648" s="42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42"/>
      <c r="C649" s="35"/>
      <c r="D649" s="35"/>
      <c r="E649" s="42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42"/>
      <c r="C650" s="35"/>
      <c r="D650" s="35"/>
      <c r="E650" s="42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42"/>
      <c r="C651" s="35"/>
      <c r="D651" s="35"/>
      <c r="E651" s="42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42"/>
      <c r="C652" s="35"/>
      <c r="D652" s="35"/>
      <c r="E652" s="42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42"/>
      <c r="C653" s="35"/>
      <c r="D653" s="35"/>
      <c r="E653" s="42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42"/>
      <c r="C654" s="35"/>
      <c r="D654" s="35"/>
      <c r="E654" s="42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42"/>
      <c r="C655" s="35"/>
      <c r="D655" s="35"/>
      <c r="E655" s="42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42"/>
      <c r="C656" s="35"/>
      <c r="D656" s="35"/>
      <c r="E656" s="42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42"/>
      <c r="C657" s="35"/>
      <c r="D657" s="35"/>
      <c r="E657" s="42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42"/>
      <c r="C658" s="35"/>
      <c r="D658" s="35"/>
      <c r="E658" s="42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42"/>
      <c r="C659" s="35"/>
      <c r="D659" s="35"/>
      <c r="E659" s="42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42"/>
      <c r="C660" s="35"/>
      <c r="D660" s="35"/>
      <c r="E660" s="42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42"/>
      <c r="C661" s="35"/>
      <c r="D661" s="35"/>
      <c r="E661" s="42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42"/>
      <c r="C662" s="35"/>
      <c r="D662" s="35"/>
      <c r="E662" s="42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42"/>
      <c r="C663" s="35"/>
      <c r="D663" s="35"/>
      <c r="E663" s="42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42"/>
      <c r="C664" s="35"/>
      <c r="D664" s="35"/>
      <c r="E664" s="42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42"/>
      <c r="C665" s="35"/>
      <c r="D665" s="35"/>
      <c r="E665" s="42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42"/>
      <c r="C666" s="35"/>
      <c r="D666" s="35"/>
      <c r="E666" s="42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42"/>
      <c r="C667" s="35"/>
      <c r="D667" s="35"/>
      <c r="E667" s="42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42"/>
      <c r="C668" s="35"/>
      <c r="D668" s="35"/>
      <c r="E668" s="42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42"/>
      <c r="C669" s="35"/>
      <c r="D669" s="35"/>
      <c r="E669" s="42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42"/>
      <c r="C670" s="35"/>
      <c r="D670" s="35"/>
      <c r="E670" s="42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42"/>
      <c r="C671" s="35"/>
      <c r="D671" s="35"/>
      <c r="E671" s="42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42"/>
      <c r="C672" s="35"/>
      <c r="D672" s="35"/>
      <c r="E672" s="42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42"/>
      <c r="C673" s="35"/>
      <c r="D673" s="35"/>
      <c r="E673" s="42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42"/>
      <c r="C674" s="35"/>
      <c r="D674" s="35"/>
      <c r="E674" s="42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42"/>
      <c r="C675" s="35"/>
      <c r="D675" s="35"/>
      <c r="E675" s="42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42"/>
      <c r="C676" s="35"/>
      <c r="D676" s="35"/>
      <c r="E676" s="42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42"/>
      <c r="C677" s="35"/>
      <c r="D677" s="35"/>
      <c r="E677" s="42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42"/>
      <c r="C678" s="35"/>
      <c r="D678" s="35"/>
      <c r="E678" s="42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42"/>
      <c r="C679" s="35"/>
      <c r="D679" s="35"/>
      <c r="E679" s="42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42"/>
      <c r="C680" s="35"/>
      <c r="D680" s="35"/>
      <c r="E680" s="42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42"/>
      <c r="C681" s="35"/>
      <c r="D681" s="35"/>
      <c r="E681" s="42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42"/>
      <c r="C682" s="35"/>
      <c r="D682" s="35"/>
      <c r="E682" s="42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42"/>
      <c r="C683" s="35"/>
      <c r="D683" s="35"/>
      <c r="E683" s="42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42"/>
      <c r="C684" s="35"/>
      <c r="D684" s="35"/>
      <c r="E684" s="42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42"/>
      <c r="C685" s="35"/>
      <c r="D685" s="35"/>
      <c r="E685" s="42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42"/>
      <c r="C686" s="35"/>
      <c r="D686" s="35"/>
      <c r="E686" s="42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42"/>
      <c r="C687" s="35"/>
      <c r="D687" s="35"/>
      <c r="E687" s="42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42"/>
      <c r="C688" s="35"/>
      <c r="D688" s="35"/>
      <c r="E688" s="42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42"/>
      <c r="C689" s="35"/>
      <c r="D689" s="35"/>
      <c r="E689" s="42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42"/>
      <c r="C690" s="35"/>
      <c r="D690" s="35"/>
      <c r="E690" s="42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42"/>
      <c r="C691" s="35"/>
      <c r="D691" s="35"/>
      <c r="E691" s="42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42"/>
      <c r="C692" s="35"/>
      <c r="D692" s="35"/>
      <c r="E692" s="42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42"/>
      <c r="C693" s="35"/>
      <c r="D693" s="35"/>
      <c r="E693" s="42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42"/>
      <c r="C694" s="35"/>
      <c r="D694" s="35"/>
      <c r="E694" s="42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42"/>
      <c r="C695" s="35"/>
      <c r="D695" s="35"/>
      <c r="E695" s="42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42"/>
      <c r="C696" s="35"/>
      <c r="D696" s="35"/>
      <c r="E696" s="42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42"/>
      <c r="C697" s="35"/>
      <c r="D697" s="35"/>
      <c r="E697" s="42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42"/>
      <c r="C698" s="35"/>
      <c r="D698" s="35"/>
      <c r="E698" s="42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42"/>
      <c r="C699" s="35"/>
      <c r="D699" s="35"/>
      <c r="E699" s="42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42"/>
      <c r="C700" s="35"/>
      <c r="D700" s="35"/>
      <c r="E700" s="42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42"/>
      <c r="C701" s="35"/>
      <c r="D701" s="35"/>
      <c r="E701" s="42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42"/>
      <c r="C702" s="35"/>
      <c r="D702" s="35"/>
      <c r="E702" s="42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42"/>
      <c r="C703" s="35"/>
      <c r="D703" s="35"/>
      <c r="E703" s="42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42"/>
      <c r="C704" s="35"/>
      <c r="D704" s="35"/>
      <c r="E704" s="42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42"/>
      <c r="C705" s="35"/>
      <c r="D705" s="35"/>
      <c r="E705" s="42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42"/>
      <c r="C706" s="35"/>
      <c r="D706" s="35"/>
      <c r="E706" s="42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42"/>
      <c r="C707" s="35"/>
      <c r="D707" s="35"/>
      <c r="E707" s="42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42"/>
      <c r="C708" s="35"/>
      <c r="D708" s="35"/>
      <c r="E708" s="42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42"/>
      <c r="C709" s="35"/>
      <c r="D709" s="35"/>
      <c r="E709" s="42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42"/>
      <c r="C710" s="35"/>
      <c r="D710" s="35"/>
      <c r="E710" s="42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42"/>
      <c r="C711" s="35"/>
      <c r="D711" s="35"/>
      <c r="E711" s="42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42"/>
      <c r="C712" s="35"/>
      <c r="D712" s="35"/>
      <c r="E712" s="42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42"/>
      <c r="C713" s="35"/>
      <c r="D713" s="35"/>
      <c r="E713" s="42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42"/>
      <c r="C714" s="35"/>
      <c r="D714" s="35"/>
      <c r="E714" s="42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42"/>
      <c r="C715" s="35"/>
      <c r="D715" s="35"/>
      <c r="E715" s="42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42"/>
      <c r="C716" s="35"/>
      <c r="D716" s="35"/>
      <c r="E716" s="42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42"/>
      <c r="C717" s="35"/>
      <c r="D717" s="35"/>
      <c r="E717" s="42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42"/>
      <c r="C718" s="35"/>
      <c r="D718" s="35"/>
      <c r="E718" s="42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42"/>
      <c r="C719" s="35"/>
      <c r="D719" s="35"/>
      <c r="E719" s="42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42"/>
      <c r="C720" s="35"/>
      <c r="D720" s="35"/>
      <c r="E720" s="42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42"/>
      <c r="C721" s="35"/>
      <c r="D721" s="35"/>
      <c r="E721" s="42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42"/>
      <c r="C722" s="35"/>
      <c r="D722" s="35"/>
      <c r="E722" s="42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42"/>
      <c r="C723" s="35"/>
      <c r="D723" s="35"/>
      <c r="E723" s="42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42"/>
      <c r="C724" s="35"/>
      <c r="D724" s="35"/>
      <c r="E724" s="42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42"/>
      <c r="C725" s="35"/>
      <c r="D725" s="35"/>
      <c r="E725" s="42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42"/>
      <c r="C726" s="35"/>
      <c r="D726" s="35"/>
      <c r="E726" s="42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42"/>
      <c r="C727" s="35"/>
      <c r="D727" s="35"/>
      <c r="E727" s="42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42"/>
      <c r="C728" s="35"/>
      <c r="D728" s="35"/>
      <c r="E728" s="42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42"/>
      <c r="C729" s="35"/>
      <c r="D729" s="35"/>
      <c r="E729" s="42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42"/>
      <c r="C730" s="35"/>
      <c r="D730" s="35"/>
      <c r="E730" s="42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42"/>
      <c r="C731" s="35"/>
      <c r="D731" s="35"/>
      <c r="E731" s="42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42"/>
      <c r="C732" s="35"/>
      <c r="D732" s="35"/>
      <c r="E732" s="42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42"/>
      <c r="C733" s="35"/>
      <c r="D733" s="35"/>
      <c r="E733" s="42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42"/>
      <c r="C734" s="35"/>
      <c r="D734" s="35"/>
      <c r="E734" s="42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42"/>
      <c r="C735" s="35"/>
      <c r="D735" s="35"/>
      <c r="E735" s="42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42"/>
      <c r="C736" s="35"/>
      <c r="D736" s="35"/>
      <c r="E736" s="42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42"/>
      <c r="C737" s="35"/>
      <c r="D737" s="35"/>
      <c r="E737" s="42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42"/>
      <c r="C738" s="35"/>
      <c r="D738" s="35"/>
      <c r="E738" s="42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42"/>
      <c r="C739" s="35"/>
      <c r="D739" s="35"/>
      <c r="E739" s="42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42"/>
      <c r="C740" s="35"/>
      <c r="D740" s="35"/>
      <c r="E740" s="42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42"/>
      <c r="C741" s="35"/>
      <c r="D741" s="35"/>
      <c r="E741" s="42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42"/>
      <c r="C742" s="35"/>
      <c r="D742" s="35"/>
      <c r="E742" s="42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42"/>
      <c r="C743" s="35"/>
      <c r="D743" s="35"/>
      <c r="E743" s="42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42"/>
      <c r="C744" s="35"/>
      <c r="D744" s="35"/>
      <c r="E744" s="42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42"/>
      <c r="C745" s="35"/>
      <c r="D745" s="35"/>
      <c r="E745" s="42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42"/>
      <c r="C746" s="35"/>
      <c r="D746" s="35"/>
      <c r="E746" s="42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42"/>
      <c r="C747" s="35"/>
      <c r="D747" s="35"/>
      <c r="E747" s="42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42"/>
      <c r="C748" s="35"/>
      <c r="D748" s="35"/>
      <c r="E748" s="42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42"/>
      <c r="C749" s="35"/>
      <c r="D749" s="35"/>
      <c r="E749" s="42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42"/>
      <c r="C750" s="35"/>
      <c r="D750" s="35"/>
      <c r="E750" s="42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42"/>
      <c r="C751" s="35"/>
      <c r="D751" s="35"/>
      <c r="E751" s="42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42"/>
      <c r="C752" s="35"/>
      <c r="D752" s="35"/>
      <c r="E752" s="42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42"/>
      <c r="C753" s="35"/>
      <c r="D753" s="35"/>
      <c r="E753" s="42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42"/>
      <c r="C754" s="35"/>
      <c r="D754" s="35"/>
      <c r="E754" s="42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42"/>
      <c r="C755" s="35"/>
      <c r="D755" s="35"/>
      <c r="E755" s="42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42"/>
      <c r="C756" s="35"/>
      <c r="D756" s="35"/>
      <c r="E756" s="42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42"/>
      <c r="C757" s="35"/>
      <c r="D757" s="35"/>
      <c r="E757" s="42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42"/>
      <c r="C758" s="35"/>
      <c r="D758" s="35"/>
      <c r="E758" s="42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42"/>
      <c r="C759" s="35"/>
      <c r="D759" s="35"/>
      <c r="E759" s="42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42"/>
      <c r="C760" s="35"/>
      <c r="D760" s="35"/>
      <c r="E760" s="42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42"/>
      <c r="C761" s="35"/>
      <c r="D761" s="35"/>
      <c r="E761" s="42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42"/>
      <c r="C762" s="35"/>
      <c r="D762" s="35"/>
      <c r="E762" s="42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42"/>
      <c r="C763" s="35"/>
      <c r="D763" s="35"/>
      <c r="E763" s="42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42"/>
      <c r="C764" s="35"/>
      <c r="D764" s="35"/>
      <c r="E764" s="42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42"/>
      <c r="C765" s="35"/>
      <c r="D765" s="35"/>
      <c r="E765" s="42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42"/>
      <c r="C766" s="35"/>
      <c r="D766" s="35"/>
      <c r="E766" s="42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42"/>
      <c r="C767" s="35"/>
      <c r="D767" s="35"/>
      <c r="E767" s="42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42"/>
      <c r="C768" s="35"/>
      <c r="D768" s="35"/>
      <c r="E768" s="42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42"/>
      <c r="C769" s="35"/>
      <c r="D769" s="35"/>
      <c r="E769" s="42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42"/>
      <c r="C770" s="35"/>
      <c r="D770" s="35"/>
      <c r="E770" s="42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42"/>
      <c r="C771" s="35"/>
      <c r="D771" s="35"/>
      <c r="E771" s="42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42"/>
      <c r="C772" s="35"/>
      <c r="D772" s="35"/>
      <c r="E772" s="42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42"/>
      <c r="C773" s="35"/>
      <c r="D773" s="35"/>
      <c r="E773" s="42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42"/>
      <c r="C774" s="35"/>
      <c r="D774" s="35"/>
      <c r="E774" s="42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42"/>
      <c r="C775" s="35"/>
      <c r="D775" s="35"/>
      <c r="E775" s="42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42"/>
      <c r="C776" s="35"/>
      <c r="D776" s="35"/>
      <c r="E776" s="42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42"/>
      <c r="C777" s="35"/>
      <c r="D777" s="35"/>
      <c r="E777" s="42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42"/>
      <c r="C778" s="35"/>
      <c r="D778" s="35"/>
      <c r="E778" s="42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42"/>
      <c r="C779" s="35"/>
      <c r="D779" s="35"/>
      <c r="E779" s="42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42"/>
      <c r="C780" s="35"/>
      <c r="D780" s="35"/>
      <c r="E780" s="42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42"/>
      <c r="C781" s="35"/>
      <c r="D781" s="35"/>
      <c r="E781" s="42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42"/>
      <c r="C782" s="35"/>
      <c r="D782" s="35"/>
      <c r="E782" s="42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42"/>
      <c r="C783" s="35"/>
      <c r="D783" s="35"/>
      <c r="E783" s="42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42"/>
      <c r="C784" s="35"/>
      <c r="D784" s="35"/>
      <c r="E784" s="42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42"/>
      <c r="C785" s="35"/>
      <c r="D785" s="35"/>
      <c r="E785" s="42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42"/>
      <c r="C786" s="35"/>
      <c r="D786" s="35"/>
      <c r="E786" s="42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42"/>
      <c r="C787" s="35"/>
      <c r="D787" s="35"/>
      <c r="E787" s="42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42"/>
      <c r="C788" s="35"/>
      <c r="D788" s="35"/>
      <c r="E788" s="42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42"/>
      <c r="C789" s="35"/>
      <c r="D789" s="35"/>
      <c r="E789" s="42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42"/>
      <c r="C790" s="35"/>
      <c r="D790" s="35"/>
      <c r="E790" s="42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42"/>
      <c r="C791" s="35"/>
      <c r="D791" s="35"/>
      <c r="E791" s="42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42"/>
      <c r="C792" s="35"/>
      <c r="D792" s="35"/>
      <c r="E792" s="42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42"/>
      <c r="C793" s="35"/>
      <c r="D793" s="35"/>
      <c r="E793" s="42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42"/>
      <c r="C794" s="35"/>
      <c r="D794" s="35"/>
      <c r="E794" s="42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42"/>
      <c r="C795" s="35"/>
      <c r="D795" s="35"/>
      <c r="E795" s="42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42"/>
      <c r="C796" s="35"/>
      <c r="D796" s="35"/>
      <c r="E796" s="42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42"/>
      <c r="C797" s="35"/>
      <c r="D797" s="35"/>
      <c r="E797" s="42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42"/>
      <c r="C798" s="35"/>
      <c r="D798" s="35"/>
      <c r="E798" s="42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42"/>
      <c r="C799" s="35"/>
      <c r="D799" s="35"/>
      <c r="E799" s="42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42"/>
      <c r="C800" s="35"/>
      <c r="D800" s="35"/>
      <c r="E800" s="42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42"/>
      <c r="C801" s="35"/>
      <c r="D801" s="35"/>
      <c r="E801" s="42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42"/>
      <c r="C802" s="35"/>
      <c r="D802" s="35"/>
      <c r="E802" s="42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42"/>
      <c r="C803" s="35"/>
      <c r="D803" s="35"/>
      <c r="E803" s="42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42"/>
      <c r="C804" s="35"/>
      <c r="D804" s="35"/>
      <c r="E804" s="42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42"/>
      <c r="C805" s="35"/>
      <c r="D805" s="35"/>
      <c r="E805" s="42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42"/>
      <c r="C806" s="35"/>
      <c r="D806" s="35"/>
      <c r="E806" s="42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42"/>
      <c r="C807" s="35"/>
      <c r="D807" s="35"/>
      <c r="E807" s="42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42"/>
      <c r="C808" s="35"/>
      <c r="D808" s="35"/>
      <c r="E808" s="42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42"/>
      <c r="C809" s="35"/>
      <c r="D809" s="35"/>
      <c r="E809" s="42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42"/>
      <c r="C810" s="35"/>
      <c r="D810" s="35"/>
      <c r="E810" s="42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42"/>
      <c r="C811" s="35"/>
      <c r="D811" s="35"/>
      <c r="E811" s="42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42"/>
      <c r="C812" s="35"/>
      <c r="D812" s="35"/>
      <c r="E812" s="42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42"/>
      <c r="C813" s="35"/>
      <c r="D813" s="35"/>
      <c r="E813" s="42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42"/>
      <c r="C814" s="35"/>
      <c r="D814" s="35"/>
      <c r="E814" s="42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42"/>
      <c r="C815" s="35"/>
      <c r="D815" s="35"/>
      <c r="E815" s="42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42"/>
      <c r="C816" s="35"/>
      <c r="D816" s="35"/>
      <c r="E816" s="42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42"/>
      <c r="C817" s="35"/>
      <c r="D817" s="35"/>
      <c r="E817" s="42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42"/>
      <c r="C818" s="35"/>
      <c r="D818" s="35"/>
      <c r="E818" s="42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42"/>
      <c r="C819" s="35"/>
      <c r="D819" s="35"/>
      <c r="E819" s="42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42"/>
      <c r="C820" s="35"/>
      <c r="D820" s="35"/>
      <c r="E820" s="42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42"/>
      <c r="C821" s="35"/>
      <c r="D821" s="35"/>
      <c r="E821" s="42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42"/>
      <c r="C822" s="35"/>
      <c r="D822" s="35"/>
      <c r="E822" s="42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42"/>
      <c r="C823" s="35"/>
      <c r="D823" s="35"/>
      <c r="E823" s="42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42"/>
      <c r="C824" s="35"/>
      <c r="D824" s="35"/>
      <c r="E824" s="42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42"/>
      <c r="C825" s="35"/>
      <c r="D825" s="35"/>
      <c r="E825" s="42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42"/>
      <c r="C826" s="35"/>
      <c r="D826" s="35"/>
      <c r="E826" s="42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42"/>
      <c r="C827" s="35"/>
      <c r="D827" s="35"/>
      <c r="E827" s="42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42"/>
      <c r="C828" s="35"/>
      <c r="D828" s="35"/>
      <c r="E828" s="42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42"/>
      <c r="C829" s="35"/>
      <c r="D829" s="35"/>
      <c r="E829" s="42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42"/>
      <c r="C830" s="35"/>
      <c r="D830" s="35"/>
      <c r="E830" s="42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42"/>
      <c r="C831" s="35"/>
      <c r="D831" s="35"/>
      <c r="E831" s="42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42"/>
      <c r="C832" s="35"/>
      <c r="D832" s="35"/>
      <c r="E832" s="42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42"/>
      <c r="C833" s="35"/>
      <c r="D833" s="35"/>
      <c r="E833" s="42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42"/>
      <c r="C834" s="35"/>
      <c r="D834" s="35"/>
      <c r="E834" s="42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42"/>
      <c r="C835" s="35"/>
      <c r="D835" s="35"/>
      <c r="E835" s="42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42"/>
      <c r="C836" s="35"/>
      <c r="D836" s="35"/>
      <c r="E836" s="42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42"/>
      <c r="C837" s="35"/>
      <c r="D837" s="35"/>
      <c r="E837" s="42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42"/>
      <c r="C838" s="35"/>
      <c r="D838" s="35"/>
      <c r="E838" s="42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42"/>
      <c r="C839" s="35"/>
      <c r="D839" s="35"/>
      <c r="E839" s="42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42"/>
      <c r="C840" s="35"/>
      <c r="D840" s="35"/>
      <c r="E840" s="42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42"/>
      <c r="C841" s="35"/>
      <c r="D841" s="35"/>
      <c r="E841" s="42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42"/>
      <c r="C842" s="35"/>
      <c r="D842" s="35"/>
      <c r="E842" s="42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42"/>
      <c r="C843" s="35"/>
      <c r="D843" s="35"/>
      <c r="E843" s="42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42"/>
      <c r="C844" s="35"/>
      <c r="D844" s="35"/>
      <c r="E844" s="42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42"/>
      <c r="C845" s="35"/>
      <c r="D845" s="35"/>
      <c r="E845" s="42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42"/>
      <c r="C846" s="35"/>
      <c r="D846" s="35"/>
      <c r="E846" s="42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42"/>
      <c r="C847" s="35"/>
      <c r="D847" s="35"/>
      <c r="E847" s="42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42"/>
      <c r="C848" s="35"/>
      <c r="D848" s="35"/>
      <c r="E848" s="42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42"/>
      <c r="C849" s="35"/>
      <c r="D849" s="35"/>
      <c r="E849" s="42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42"/>
      <c r="C850" s="35"/>
      <c r="D850" s="35"/>
      <c r="E850" s="42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42"/>
      <c r="C851" s="35"/>
      <c r="D851" s="35"/>
      <c r="E851" s="42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42"/>
      <c r="C852" s="35"/>
      <c r="D852" s="35"/>
      <c r="E852" s="42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42"/>
      <c r="C853" s="35"/>
      <c r="D853" s="35"/>
      <c r="E853" s="42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42"/>
      <c r="C854" s="35"/>
      <c r="D854" s="35"/>
      <c r="E854" s="42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42"/>
      <c r="C855" s="35"/>
      <c r="D855" s="35"/>
      <c r="E855" s="42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42"/>
      <c r="C856" s="35"/>
      <c r="D856" s="35"/>
      <c r="E856" s="42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42"/>
      <c r="C857" s="35"/>
      <c r="D857" s="35"/>
      <c r="E857" s="42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42"/>
      <c r="C858" s="35"/>
      <c r="D858" s="35"/>
      <c r="E858" s="42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42"/>
      <c r="C859" s="35"/>
      <c r="D859" s="35"/>
      <c r="E859" s="42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42"/>
      <c r="C860" s="35"/>
      <c r="D860" s="35"/>
      <c r="E860" s="42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42"/>
      <c r="C861" s="35"/>
      <c r="D861" s="35"/>
      <c r="E861" s="42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42"/>
      <c r="C862" s="35"/>
      <c r="D862" s="35"/>
      <c r="E862" s="42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42"/>
      <c r="C863" s="35"/>
      <c r="D863" s="35"/>
      <c r="E863" s="42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42"/>
      <c r="C864" s="35"/>
      <c r="D864" s="35"/>
      <c r="E864" s="42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42"/>
      <c r="C865" s="35"/>
      <c r="D865" s="35"/>
      <c r="E865" s="42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42"/>
      <c r="C866" s="35"/>
      <c r="D866" s="35"/>
      <c r="E866" s="42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42"/>
      <c r="C867" s="35"/>
      <c r="D867" s="35"/>
      <c r="E867" s="42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42"/>
      <c r="C868" s="35"/>
      <c r="D868" s="35"/>
      <c r="E868" s="42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42"/>
      <c r="C869" s="35"/>
      <c r="D869" s="35"/>
      <c r="E869" s="42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42"/>
      <c r="C870" s="35"/>
      <c r="D870" s="35"/>
      <c r="E870" s="42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42"/>
      <c r="C871" s="35"/>
      <c r="D871" s="35"/>
      <c r="E871" s="42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42"/>
      <c r="C872" s="35"/>
      <c r="D872" s="35"/>
      <c r="E872" s="42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42"/>
      <c r="C873" s="35"/>
      <c r="D873" s="35"/>
      <c r="E873" s="42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42"/>
      <c r="C874" s="35"/>
      <c r="D874" s="35"/>
      <c r="E874" s="42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42"/>
      <c r="C875" s="35"/>
      <c r="D875" s="35"/>
      <c r="E875" s="42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42"/>
      <c r="C876" s="35"/>
      <c r="D876" s="35"/>
      <c r="E876" s="42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42"/>
      <c r="C877" s="35"/>
      <c r="D877" s="35"/>
      <c r="E877" s="42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42"/>
      <c r="C878" s="35"/>
      <c r="D878" s="35"/>
      <c r="E878" s="42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42"/>
      <c r="C879" s="35"/>
      <c r="D879" s="35"/>
      <c r="E879" s="42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42"/>
      <c r="C880" s="35"/>
      <c r="D880" s="35"/>
      <c r="E880" s="42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42"/>
      <c r="C881" s="35"/>
      <c r="D881" s="35"/>
      <c r="E881" s="42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42"/>
      <c r="C882" s="35"/>
      <c r="D882" s="35"/>
      <c r="E882" s="42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42"/>
      <c r="C883" s="35"/>
      <c r="D883" s="35"/>
      <c r="E883" s="42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42"/>
      <c r="C884" s="35"/>
      <c r="D884" s="35"/>
      <c r="E884" s="42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42"/>
      <c r="C885" s="35"/>
      <c r="D885" s="35"/>
      <c r="E885" s="42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42"/>
      <c r="C886" s="35"/>
      <c r="D886" s="35"/>
      <c r="E886" s="42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42"/>
      <c r="C887" s="35"/>
      <c r="D887" s="35"/>
      <c r="E887" s="42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42"/>
      <c r="C888" s="35"/>
      <c r="D888" s="35"/>
      <c r="E888" s="42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42"/>
      <c r="C889" s="35"/>
      <c r="D889" s="35"/>
      <c r="E889" s="42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42"/>
      <c r="C890" s="35"/>
      <c r="D890" s="35"/>
      <c r="E890" s="42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42"/>
      <c r="C891" s="35"/>
      <c r="D891" s="35"/>
      <c r="E891" s="42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42"/>
      <c r="C892" s="35"/>
      <c r="D892" s="35"/>
      <c r="E892" s="42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42"/>
      <c r="C893" s="35"/>
      <c r="D893" s="35"/>
      <c r="E893" s="42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42"/>
      <c r="C894" s="35"/>
      <c r="D894" s="35"/>
      <c r="E894" s="42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42"/>
      <c r="C895" s="35"/>
      <c r="D895" s="35"/>
      <c r="E895" s="42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42"/>
      <c r="C896" s="35"/>
      <c r="D896" s="35"/>
      <c r="E896" s="42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42"/>
      <c r="C897" s="35"/>
      <c r="D897" s="35"/>
      <c r="E897" s="42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42"/>
      <c r="C898" s="35"/>
      <c r="D898" s="35"/>
      <c r="E898" s="42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42"/>
      <c r="C899" s="35"/>
      <c r="D899" s="35"/>
      <c r="E899" s="42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42"/>
      <c r="C900" s="35"/>
      <c r="D900" s="35"/>
      <c r="E900" s="42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42"/>
      <c r="C901" s="35"/>
      <c r="D901" s="35"/>
      <c r="E901" s="42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42"/>
      <c r="C902" s="35"/>
      <c r="D902" s="35"/>
      <c r="E902" s="42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42"/>
      <c r="C903" s="35"/>
      <c r="D903" s="35"/>
      <c r="E903" s="42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42"/>
      <c r="C904" s="35"/>
      <c r="D904" s="35"/>
      <c r="E904" s="42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42"/>
      <c r="C905" s="35"/>
      <c r="D905" s="35"/>
      <c r="E905" s="42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42"/>
      <c r="C906" s="35"/>
      <c r="D906" s="35"/>
      <c r="E906" s="42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42"/>
      <c r="C907" s="35"/>
      <c r="D907" s="35"/>
      <c r="E907" s="42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42"/>
      <c r="C908" s="35"/>
      <c r="D908" s="35"/>
      <c r="E908" s="42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42"/>
      <c r="C909" s="35"/>
      <c r="D909" s="35"/>
      <c r="E909" s="42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42"/>
      <c r="C910" s="35"/>
      <c r="D910" s="35"/>
      <c r="E910" s="42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42"/>
      <c r="C911" s="35"/>
      <c r="D911" s="35"/>
      <c r="E911" s="42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42"/>
      <c r="C912" s="35"/>
      <c r="D912" s="35"/>
      <c r="E912" s="42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42"/>
      <c r="C913" s="35"/>
      <c r="D913" s="35"/>
      <c r="E913" s="42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42"/>
      <c r="C914" s="35"/>
      <c r="D914" s="35"/>
      <c r="E914" s="42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42"/>
      <c r="C915" s="35"/>
      <c r="D915" s="35"/>
      <c r="E915" s="42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42"/>
      <c r="C916" s="35"/>
      <c r="D916" s="35"/>
      <c r="E916" s="42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42"/>
      <c r="C917" s="35"/>
      <c r="D917" s="35"/>
      <c r="E917" s="42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42"/>
      <c r="C918" s="35"/>
      <c r="D918" s="35"/>
      <c r="E918" s="42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42"/>
      <c r="C919" s="35"/>
      <c r="D919" s="35"/>
      <c r="E919" s="42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42"/>
      <c r="C920" s="35"/>
      <c r="D920" s="35"/>
      <c r="E920" s="42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42"/>
      <c r="C921" s="35"/>
      <c r="D921" s="35"/>
      <c r="E921" s="42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42"/>
      <c r="C922" s="35"/>
      <c r="D922" s="35"/>
      <c r="E922" s="42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42"/>
      <c r="C923" s="35"/>
      <c r="D923" s="35"/>
      <c r="E923" s="42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42"/>
      <c r="C924" s="35"/>
      <c r="D924" s="35"/>
      <c r="E924" s="42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42"/>
      <c r="C925" s="35"/>
      <c r="D925" s="35"/>
      <c r="E925" s="42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42"/>
      <c r="C926" s="35"/>
      <c r="D926" s="35"/>
      <c r="E926" s="42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42"/>
      <c r="C927" s="35"/>
      <c r="D927" s="35"/>
      <c r="E927" s="42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42"/>
      <c r="C928" s="35"/>
      <c r="D928" s="35"/>
      <c r="E928" s="42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42"/>
      <c r="C929" s="35"/>
      <c r="D929" s="35"/>
      <c r="E929" s="42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42"/>
      <c r="C930" s="35"/>
      <c r="D930" s="35"/>
      <c r="E930" s="42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42"/>
      <c r="C931" s="35"/>
      <c r="D931" s="35"/>
      <c r="E931" s="42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42"/>
      <c r="C932" s="35"/>
      <c r="D932" s="35"/>
      <c r="E932" s="42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42"/>
      <c r="C933" s="35"/>
      <c r="D933" s="35"/>
      <c r="E933" s="42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42"/>
      <c r="C934" s="35"/>
      <c r="D934" s="35"/>
      <c r="E934" s="42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42"/>
      <c r="C935" s="35"/>
      <c r="D935" s="35"/>
      <c r="E935" s="42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42"/>
      <c r="C936" s="35"/>
      <c r="D936" s="35"/>
      <c r="E936" s="42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42"/>
      <c r="C937" s="35"/>
      <c r="D937" s="35"/>
      <c r="E937" s="42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42"/>
      <c r="C938" s="35"/>
      <c r="D938" s="35"/>
      <c r="E938" s="42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42"/>
      <c r="C939" s="35"/>
      <c r="D939" s="35"/>
      <c r="E939" s="42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42"/>
      <c r="C940" s="35"/>
      <c r="D940" s="35"/>
      <c r="E940" s="42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42"/>
      <c r="C941" s="35"/>
      <c r="D941" s="35"/>
      <c r="E941" s="42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42"/>
      <c r="C942" s="35"/>
      <c r="D942" s="35"/>
      <c r="E942" s="42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42"/>
      <c r="C943" s="35"/>
      <c r="D943" s="35"/>
      <c r="E943" s="42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42"/>
      <c r="C944" s="35"/>
      <c r="D944" s="35"/>
      <c r="E944" s="42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42"/>
      <c r="C945" s="35"/>
      <c r="D945" s="35"/>
      <c r="E945" s="42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42"/>
      <c r="C946" s="35"/>
      <c r="D946" s="35"/>
      <c r="E946" s="42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42"/>
      <c r="C947" s="35"/>
      <c r="D947" s="35"/>
      <c r="E947" s="42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42"/>
      <c r="C948" s="35"/>
      <c r="D948" s="35"/>
      <c r="E948" s="42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42"/>
      <c r="C949" s="35"/>
      <c r="D949" s="35"/>
      <c r="E949" s="42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42"/>
      <c r="C950" s="35"/>
      <c r="D950" s="35"/>
      <c r="E950" s="42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42"/>
      <c r="C951" s="35"/>
      <c r="D951" s="35"/>
      <c r="E951" s="42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42"/>
      <c r="C952" s="35"/>
      <c r="D952" s="35"/>
      <c r="E952" s="42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42"/>
      <c r="C953" s="35"/>
      <c r="D953" s="35"/>
      <c r="E953" s="42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42"/>
      <c r="C954" s="35"/>
      <c r="D954" s="35"/>
      <c r="E954" s="42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42"/>
      <c r="C955" s="35"/>
      <c r="D955" s="35"/>
      <c r="E955" s="42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42"/>
      <c r="C956" s="35"/>
      <c r="D956" s="35"/>
      <c r="E956" s="42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42"/>
      <c r="C957" s="35"/>
      <c r="D957" s="35"/>
      <c r="E957" s="42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42"/>
      <c r="C958" s="35"/>
      <c r="D958" s="35"/>
      <c r="E958" s="42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42"/>
      <c r="C959" s="35"/>
      <c r="D959" s="35"/>
      <c r="E959" s="42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42"/>
      <c r="C960" s="35"/>
      <c r="D960" s="35"/>
      <c r="E960" s="42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42"/>
      <c r="C961" s="35"/>
      <c r="D961" s="35"/>
      <c r="E961" s="42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42"/>
      <c r="C962" s="35"/>
      <c r="D962" s="35"/>
      <c r="E962" s="42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42"/>
      <c r="C963" s="35"/>
      <c r="D963" s="35"/>
      <c r="E963" s="42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42"/>
      <c r="C964" s="35"/>
      <c r="D964" s="35"/>
      <c r="E964" s="42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42"/>
      <c r="C965" s="35"/>
      <c r="D965" s="35"/>
      <c r="E965" s="42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42"/>
      <c r="C966" s="35"/>
      <c r="D966" s="35"/>
      <c r="E966" s="42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42"/>
      <c r="C967" s="35"/>
      <c r="D967" s="35"/>
      <c r="E967" s="42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42"/>
      <c r="C968" s="35"/>
      <c r="D968" s="35"/>
      <c r="E968" s="42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42"/>
      <c r="C969" s="35"/>
      <c r="D969" s="35"/>
      <c r="E969" s="42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42"/>
      <c r="C970" s="35"/>
      <c r="D970" s="35"/>
      <c r="E970" s="42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42"/>
      <c r="C971" s="35"/>
      <c r="D971" s="35"/>
      <c r="E971" s="42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42"/>
      <c r="C972" s="35"/>
      <c r="D972" s="35"/>
      <c r="E972" s="42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42"/>
      <c r="C973" s="35"/>
      <c r="D973" s="35"/>
      <c r="E973" s="42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42"/>
      <c r="C974" s="35"/>
      <c r="D974" s="35"/>
      <c r="E974" s="42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42"/>
      <c r="C975" s="35"/>
      <c r="D975" s="35"/>
      <c r="E975" s="42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42"/>
      <c r="C976" s="35"/>
      <c r="D976" s="35"/>
      <c r="E976" s="42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42"/>
      <c r="C977" s="35"/>
      <c r="D977" s="35"/>
      <c r="E977" s="42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42"/>
      <c r="C978" s="35"/>
      <c r="D978" s="35"/>
      <c r="E978" s="42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42"/>
      <c r="C979" s="35"/>
      <c r="D979" s="35"/>
      <c r="E979" s="42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42"/>
      <c r="C980" s="35"/>
      <c r="D980" s="35"/>
      <c r="E980" s="42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42"/>
      <c r="C981" s="35"/>
      <c r="D981" s="35"/>
      <c r="E981" s="42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42"/>
      <c r="C982" s="35"/>
      <c r="D982" s="35"/>
      <c r="E982" s="42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</sheetData>
  <conditionalFormatting sqref="A2:B10">
    <cfRule type="containsBlanks" dxfId="0" priority="1">
      <formula>LEN(TRIM(A2))=0</formula>
    </cfRule>
  </conditionalFormatting>
  <conditionalFormatting sqref="D2:E10">
    <cfRule type="containsBlanks" dxfId="0" priority="2">
      <formula>LEN(TRIM(D2))=0</formula>
    </cfRule>
  </conditionalFormatting>
  <conditionalFormatting sqref="D2:E10 A14:B22 D14:E22 A26:B34 D26:E34 A38:B46 D38:E46 A50:B58 D50:E58 A62:B70 D62:E70">
    <cfRule type="containsBlanks" dxfId="0" priority="3">
      <formula>LEN(TRIM(D2))=0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23.43"/>
    <col customWidth="1" min="3" max="26" width="9.14"/>
  </cols>
  <sheetData>
    <row r="1">
      <c r="A1" s="44" t="s">
        <v>95</v>
      </c>
      <c r="B1" s="45" t="s">
        <v>291</v>
      </c>
      <c r="C1" s="46" t="s">
        <v>292</v>
      </c>
      <c r="D1" s="46" t="s">
        <v>293</v>
      </c>
      <c r="E1" s="46" t="s">
        <v>294</v>
      </c>
      <c r="F1" s="46" t="s">
        <v>295</v>
      </c>
      <c r="G1" s="46" t="s">
        <v>296</v>
      </c>
      <c r="H1" s="46" t="s">
        <v>297</v>
      </c>
      <c r="I1" s="46" t="s">
        <v>298</v>
      </c>
      <c r="J1" s="46" t="s">
        <v>299</v>
      </c>
      <c r="K1" s="46" t="s">
        <v>300</v>
      </c>
      <c r="L1" s="47"/>
      <c r="M1" s="48" t="s">
        <v>301</v>
      </c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0" t="s">
        <v>302</v>
      </c>
      <c r="B2" s="51" t="str">
        <f>IF(Rosters!C2="*",Rosters!D2,IF(Rosters!C3="*",Rosters!D3,IF(Rosters!C4="*",Rosters!D4,"")))</f>
        <v>Jordan Love (GB)</v>
      </c>
      <c r="C2" s="52">
        <v>234.0</v>
      </c>
      <c r="D2" s="52"/>
      <c r="E2" s="52"/>
      <c r="F2" s="52">
        <v>4.0</v>
      </c>
      <c r="G2" s="52"/>
      <c r="H2" s="52"/>
      <c r="I2" s="52"/>
      <c r="J2" s="52"/>
      <c r="K2" s="52"/>
      <c r="L2" s="53"/>
      <c r="M2" s="54">
        <f t="shared" ref="M2:M6" si="1"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>26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5"/>
      <c r="B3" s="56" t="str">
        <f>IF(Rosters!C6="*",Rosters!D6,IF(Rosters!C7="*",Rosters!D7,IF(Rosters!C8="*",Rosters!D8,IF(Rosters!C9="*",Rosters!D9,""))))</f>
        <v>Josh Jacobs (GB)</v>
      </c>
      <c r="C3" s="57">
        <v>0.0</v>
      </c>
      <c r="D3" s="57">
        <v>83.0</v>
      </c>
      <c r="E3" s="57"/>
      <c r="F3" s="57"/>
      <c r="G3" s="57"/>
      <c r="H3" s="57"/>
      <c r="I3" s="57"/>
      <c r="J3" s="57"/>
      <c r="K3" s="57"/>
      <c r="L3" s="58"/>
      <c r="M3" s="54">
        <f t="shared" si="1"/>
        <v>2</v>
      </c>
      <c r="N3" s="5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5"/>
      <c r="B4" s="56" t="str">
        <f>IF(Rosters!C9="*",Rosters!D9,IF(Rosters!C8="*",Rosters!D8,IF(Rosters!C7="*",Rosters!D7,IF(Rosters!C6="*",Rosters!D6,""))))</f>
        <v>RJ Harvey (Den)</v>
      </c>
      <c r="C4" s="57">
        <v>0.0</v>
      </c>
      <c r="D4" s="57"/>
      <c r="E4" s="57"/>
      <c r="F4" s="57">
        <v>2.0</v>
      </c>
      <c r="G4" s="57"/>
      <c r="H4" s="57"/>
      <c r="I4" s="57"/>
      <c r="J4" s="57"/>
      <c r="K4" s="57"/>
      <c r="L4" s="60"/>
      <c r="M4" s="54">
        <f t="shared" si="1"/>
        <v>12</v>
      </c>
      <c r="N4" s="5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5"/>
      <c r="B5" s="56" t="str">
        <f>IF(Rosters!C11="*",Rosters!D11,IF(Rosters!C12="*",Rosters!D12,IF(Rosters!C13="*",Rosters!D13,IF(Rosters!C14="*",Rosters!D14,""))))</f>
        <v>Puka Nacua (LAR)</v>
      </c>
      <c r="C5" s="57">
        <v>0.0</v>
      </c>
      <c r="D5" s="57"/>
      <c r="E5" s="57"/>
      <c r="F5" s="57"/>
      <c r="G5" s="57"/>
      <c r="H5" s="57"/>
      <c r="I5" s="57"/>
      <c r="J5" s="57"/>
      <c r="K5" s="57"/>
      <c r="L5" s="58"/>
      <c r="M5" s="54">
        <f t="shared" si="1"/>
        <v>0</v>
      </c>
      <c r="N5" s="5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5"/>
      <c r="B6" s="56" t="str">
        <f>IF(Rosters!C14="*",Rosters!D14,IF(Rosters!C13="*",Rosters!D13,IF(Rosters!C12="*",Rosters!D12,IF(Rosters!C11="*",Rosters!D11,""))))</f>
        <v>Davante Adams (LAR)</v>
      </c>
      <c r="C6" s="57">
        <v>0.0</v>
      </c>
      <c r="D6" s="57"/>
      <c r="E6" s="57"/>
      <c r="F6" s="57">
        <v>2.0</v>
      </c>
      <c r="G6" s="57"/>
      <c r="H6" s="57"/>
      <c r="I6" s="57"/>
      <c r="J6" s="57"/>
      <c r="K6" s="57"/>
      <c r="L6" s="58"/>
      <c r="M6" s="54">
        <f t="shared" si="1"/>
        <v>12</v>
      </c>
      <c r="N6" s="61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5"/>
      <c r="B7" s="56" t="str">
        <f>IF(Rosters!C16="*",Rosters!D16,IF(Rosters!C17="*",Rosters!D17,IF(Rosters!C18="*",Rosters!D18,"")))</f>
        <v>Darren Waller (Mia)</v>
      </c>
      <c r="C7" s="57">
        <v>0.0</v>
      </c>
      <c r="D7" s="57"/>
      <c r="E7" s="57"/>
      <c r="F7" s="57"/>
      <c r="G7" s="57"/>
      <c r="H7" s="57"/>
      <c r="I7" s="57"/>
      <c r="J7" s="57"/>
      <c r="K7" s="57"/>
      <c r="L7" s="60"/>
      <c r="M7" s="62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>0</v>
      </c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63"/>
      <c r="B8" s="64"/>
      <c r="C8" s="65" t="s">
        <v>303</v>
      </c>
      <c r="D8" s="65" t="s">
        <v>304</v>
      </c>
      <c r="E8" s="65" t="s">
        <v>305</v>
      </c>
      <c r="F8" s="66" t="s">
        <v>306</v>
      </c>
      <c r="G8" s="65" t="s">
        <v>307</v>
      </c>
      <c r="H8" s="65" t="s">
        <v>308</v>
      </c>
      <c r="I8" s="65" t="s">
        <v>309</v>
      </c>
      <c r="J8" s="65" t="s">
        <v>310</v>
      </c>
      <c r="K8" s="65" t="s">
        <v>311</v>
      </c>
      <c r="L8" s="60" t="s">
        <v>312</v>
      </c>
      <c r="M8" s="62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55"/>
      <c r="B9" s="56" t="str">
        <f>IF(Rosters!C21="*",Rosters!D21,IF(Rosters!C20="*",Rosters!D20,""))</f>
        <v>Jake Elliott (Phi)</v>
      </c>
      <c r="C9" s="57">
        <v>45.0</v>
      </c>
      <c r="D9" s="57"/>
      <c r="E9" s="57"/>
      <c r="F9" s="57"/>
      <c r="G9" s="57"/>
      <c r="H9" s="57"/>
      <c r="I9" s="57"/>
      <c r="J9" s="57"/>
      <c r="K9" s="57">
        <v>1.0</v>
      </c>
      <c r="L9" s="57">
        <v>1.0</v>
      </c>
      <c r="M9" s="62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>0</v>
      </c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63"/>
      <c r="B10" s="64"/>
      <c r="C10" s="65" t="s">
        <v>313</v>
      </c>
      <c r="D10" s="65" t="s">
        <v>314</v>
      </c>
      <c r="E10" s="65" t="s">
        <v>297</v>
      </c>
      <c r="F10" s="65" t="s">
        <v>315</v>
      </c>
      <c r="G10" s="65" t="s">
        <v>295</v>
      </c>
      <c r="H10" s="66" t="s">
        <v>316</v>
      </c>
      <c r="I10" s="65" t="s">
        <v>317</v>
      </c>
      <c r="J10" s="65" t="s">
        <v>318</v>
      </c>
      <c r="K10" s="65"/>
      <c r="L10" s="60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5"/>
      <c r="B11" s="56" t="str">
        <f>IF(Rosters!C23="*",Rosters!D23,IF(Rosters!C24="*",Rosters!D24,""))</f>
        <v>Denver</v>
      </c>
      <c r="C11" s="57">
        <v>26.0</v>
      </c>
      <c r="D11" s="57">
        <v>2.0</v>
      </c>
      <c r="E11" s="57">
        <v>1.0</v>
      </c>
      <c r="F11" s="57"/>
      <c r="G11" s="57"/>
      <c r="H11" s="57"/>
      <c r="I11" s="57"/>
      <c r="J11" s="57"/>
      <c r="K11" s="66"/>
      <c r="L11" s="60"/>
      <c r="M11" s="62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>4</v>
      </c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63"/>
      <c r="B12" s="64"/>
      <c r="C12" s="66"/>
      <c r="D12" s="65"/>
      <c r="E12" s="65"/>
      <c r="F12" s="65"/>
      <c r="G12" s="65"/>
      <c r="H12" s="65"/>
      <c r="I12" s="65"/>
      <c r="J12" s="65"/>
      <c r="K12" s="65"/>
      <c r="L12" s="60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67"/>
      <c r="B13" s="68" t="str">
        <f>IF(Rosters!C26="*",Rosters!D26,IF(Rosters!C27="*",Rosters!D27,""))</f>
        <v>Sean McVay (LAR)</v>
      </c>
      <c r="C13" s="69">
        <v>0.0</v>
      </c>
      <c r="D13" s="70"/>
      <c r="E13" s="70"/>
      <c r="F13" s="70"/>
      <c r="G13" s="70"/>
      <c r="H13" s="70"/>
      <c r="I13" s="70"/>
      <c r="J13" s="70"/>
      <c r="K13" s="70"/>
      <c r="L13" s="71"/>
      <c r="M13" s="72">
        <f>C13</f>
        <v>0</v>
      </c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73" t="s">
        <v>319</v>
      </c>
      <c r="B14" s="56" t="str">
        <f>IF(Rosters!F2="*",Rosters!G2,IF(Rosters!F3="*",Rosters!G3,IF(Rosters!F4="*",Rosters!G4,"")))</f>
        <v>Tua Tagovailoa (Mia)</v>
      </c>
      <c r="C14" s="52">
        <v>0.0</v>
      </c>
      <c r="D14" s="52"/>
      <c r="E14" s="52"/>
      <c r="F14" s="52"/>
      <c r="G14" s="52"/>
      <c r="H14" s="52"/>
      <c r="I14" s="52"/>
      <c r="J14" s="52"/>
      <c r="K14" s="52"/>
      <c r="L14" s="53"/>
      <c r="M14" s="54">
        <f t="shared" ref="M14:M18" si="2"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>0</v>
      </c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55"/>
      <c r="B15" s="56" t="str">
        <f>IF(Rosters!F6="*",Rosters!G6,IF(Rosters!F7="*",Rosters!G7,IF(Rosters!F8="*",Rosters!G8,IF(Rosters!F9="*",Rosters!G9,""))))</f>
        <v>Jahmyr Gibbs (Det)</v>
      </c>
      <c r="C15" s="57">
        <v>0.0</v>
      </c>
      <c r="D15" s="57"/>
      <c r="E15" s="57"/>
      <c r="F15" s="57"/>
      <c r="G15" s="57"/>
      <c r="H15" s="57"/>
      <c r="I15" s="57"/>
      <c r="J15" s="57"/>
      <c r="K15" s="57"/>
      <c r="L15" s="58"/>
      <c r="M15" s="54">
        <f t="shared" si="2"/>
        <v>0</v>
      </c>
      <c r="N15" s="61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55"/>
      <c r="B16" s="56" t="str">
        <f>IF(Rosters!F9="*",Rosters!G9,IF(Rosters!F8="*",Rosters!G8,IF(Rosters!F7="*",Rosters!G7,IF(Rosters!F6="*",Rosters!G6,""))))</f>
        <v>Isiah Pacheco (KC)</v>
      </c>
      <c r="C16" s="57">
        <v>0.0</v>
      </c>
      <c r="D16" s="57"/>
      <c r="E16" s="57"/>
      <c r="F16" s="57"/>
      <c r="G16" s="57"/>
      <c r="H16" s="57"/>
      <c r="I16" s="57"/>
      <c r="J16" s="57"/>
      <c r="K16" s="57"/>
      <c r="L16" s="60"/>
      <c r="M16" s="54">
        <f t="shared" si="2"/>
        <v>0</v>
      </c>
      <c r="N16" s="61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55"/>
      <c r="B17" s="56" t="str">
        <f>IF(Rosters!F11="*",Rosters!G11,IF(Rosters!F12="*",Rosters!G12,IF(Rosters!F13="*",Rosters!G13,IF(Rosters!F14="*",Rosters!G14,""))))</f>
        <v>Christian Watson (GB)</v>
      </c>
      <c r="C17" s="57">
        <v>0.0</v>
      </c>
      <c r="D17" s="57"/>
      <c r="E17" s="57">
        <v>80.0</v>
      </c>
      <c r="F17" s="57">
        <v>1.0</v>
      </c>
      <c r="G17" s="57"/>
      <c r="H17" s="57"/>
      <c r="I17" s="57"/>
      <c r="J17" s="57"/>
      <c r="K17" s="57"/>
      <c r="L17" s="58"/>
      <c r="M17" s="54">
        <f t="shared" si="2"/>
        <v>8</v>
      </c>
      <c r="N17" s="61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55"/>
      <c r="B18" s="56" t="str">
        <f>IF(Rosters!F14="*",Rosters!G14,IF(Rosters!F13="*",Rosters!G13,IF(Rosters!F12="*",Rosters!G12,IF(Rosters!F11="*",Rosters!G11,""))))</f>
        <v>Tet McMillan (Car)</v>
      </c>
      <c r="C18" s="57">
        <v>0.0</v>
      </c>
      <c r="D18" s="57"/>
      <c r="E18" s="57"/>
      <c r="F18" s="57">
        <v>1.0</v>
      </c>
      <c r="G18" s="57"/>
      <c r="H18" s="57"/>
      <c r="I18" s="57"/>
      <c r="J18" s="57"/>
      <c r="K18" s="57"/>
      <c r="L18" s="58"/>
      <c r="M18" s="54">
        <f t="shared" si="2"/>
        <v>6</v>
      </c>
      <c r="N18" s="61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55"/>
      <c r="B19" s="56" t="str">
        <f>IF(Rosters!F16="*",Rosters!G16,IF(Rosters!F17="*",Rosters!G17,IF(Rosters!F18="*",Rosters!G18,"")))</f>
        <v>Gunnar Helm (Ten)</v>
      </c>
      <c r="C19" s="57">
        <v>0.0</v>
      </c>
      <c r="D19" s="57"/>
      <c r="E19" s="57"/>
      <c r="F19" s="57"/>
      <c r="G19" s="57"/>
      <c r="H19" s="57"/>
      <c r="I19" s="57"/>
      <c r="J19" s="57"/>
      <c r="K19" s="57"/>
      <c r="L19" s="60"/>
      <c r="M19" s="62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>0</v>
      </c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63"/>
      <c r="B20" s="64"/>
      <c r="C20" s="65" t="s">
        <v>303</v>
      </c>
      <c r="D20" s="65" t="s">
        <v>304</v>
      </c>
      <c r="E20" s="65" t="s">
        <v>305</v>
      </c>
      <c r="F20" s="66" t="s">
        <v>306</v>
      </c>
      <c r="G20" s="65" t="s">
        <v>307</v>
      </c>
      <c r="H20" s="65" t="s">
        <v>308</v>
      </c>
      <c r="I20" s="65" t="s">
        <v>309</v>
      </c>
      <c r="J20" s="65" t="s">
        <v>310</v>
      </c>
      <c r="K20" s="65" t="s">
        <v>311</v>
      </c>
      <c r="L20" s="60" t="s">
        <v>312</v>
      </c>
      <c r="M20" s="62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55"/>
      <c r="B21" s="56" t="str">
        <f>IF(Rosters!F21="*",Rosters!G21,IF(Rosters!F20="*",Rosters!G20,""))</f>
        <v>Brandon Aubrey (Dal)</v>
      </c>
      <c r="C21" s="57">
        <v>25.0</v>
      </c>
      <c r="D21" s="57">
        <v>35.0</v>
      </c>
      <c r="E21" s="57">
        <v>45.0</v>
      </c>
      <c r="F21" s="57"/>
      <c r="G21" s="57"/>
      <c r="H21" s="57"/>
      <c r="I21" s="57"/>
      <c r="J21" s="57">
        <v>2.0</v>
      </c>
      <c r="K21" s="57"/>
      <c r="L21" s="57"/>
      <c r="M21" s="62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>8</v>
      </c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63"/>
      <c r="B22" s="64"/>
      <c r="C22" s="65" t="s">
        <v>313</v>
      </c>
      <c r="D22" s="65" t="s">
        <v>314</v>
      </c>
      <c r="E22" s="65" t="s">
        <v>297</v>
      </c>
      <c r="F22" s="65" t="s">
        <v>315</v>
      </c>
      <c r="G22" s="65" t="s">
        <v>295</v>
      </c>
      <c r="H22" s="66" t="s">
        <v>316</v>
      </c>
      <c r="I22" s="65" t="s">
        <v>317</v>
      </c>
      <c r="J22" s="65" t="s">
        <v>318</v>
      </c>
      <c r="K22" s="65"/>
      <c r="L22" s="60"/>
      <c r="M22" s="62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55"/>
      <c r="B23" s="56" t="str">
        <f>IF(Rosters!F23="*",Rosters!G23,IF(Rosters!F24="*",Rosters!G24,""))</f>
        <v>Houston</v>
      </c>
      <c r="C23" s="57">
        <v>16.0</v>
      </c>
      <c r="D23" s="57">
        <v>1.0</v>
      </c>
      <c r="E23" s="57"/>
      <c r="F23" s="57"/>
      <c r="G23" s="57"/>
      <c r="H23" s="57"/>
      <c r="I23" s="57"/>
      <c r="J23" s="57"/>
      <c r="K23" s="66"/>
      <c r="L23" s="60"/>
      <c r="M23" s="62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>3</v>
      </c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63"/>
      <c r="B24" s="64"/>
      <c r="C24" s="66"/>
      <c r="D24" s="65"/>
      <c r="E24" s="65"/>
      <c r="F24" s="65"/>
      <c r="G24" s="65"/>
      <c r="H24" s="65"/>
      <c r="I24" s="65"/>
      <c r="J24" s="65"/>
      <c r="K24" s="65"/>
      <c r="L24" s="60"/>
      <c r="M24" s="62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55"/>
      <c r="B25" s="68" t="str">
        <f>IF(Rosters!F26="*",Rosters!G26,IF(Rosters!F27="*",Rosters!G27,""))</f>
        <v>Dan Campbell (Det)</v>
      </c>
      <c r="C25" s="69">
        <v>0.0</v>
      </c>
      <c r="D25" s="70"/>
      <c r="E25" s="70"/>
      <c r="F25" s="70"/>
      <c r="G25" s="70"/>
      <c r="H25" s="70"/>
      <c r="I25" s="70"/>
      <c r="J25" s="70"/>
      <c r="K25" s="70"/>
      <c r="L25" s="71"/>
      <c r="M25" s="72">
        <f>C25</f>
        <v>0</v>
      </c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73" t="s">
        <v>320</v>
      </c>
      <c r="B26" s="56" t="str">
        <f>IF(Rosters!I2="*",Rosters!J2,IF(Rosters!I3="*",Rosters!J3,IF(Rosters!I4="*",Rosters!J4,"")))</f>
        <v>Bo Nix (Den)</v>
      </c>
      <c r="C26" s="52">
        <v>321.0</v>
      </c>
      <c r="D26" s="52"/>
      <c r="E26" s="52"/>
      <c r="F26" s="52">
        <v>1.0</v>
      </c>
      <c r="G26" s="52"/>
      <c r="H26" s="52">
        <v>1.0</v>
      </c>
      <c r="I26" s="52"/>
      <c r="J26" s="52"/>
      <c r="K26" s="52"/>
      <c r="L26" s="53"/>
      <c r="M26" s="54">
        <f t="shared" ref="M26:M30" si="3"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>9</v>
      </c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55"/>
      <c r="B27" s="56" t="str">
        <f>IF(Rosters!I6="*",Rosters!J6,IF(Rosters!I7="*",Rosters!J7,IF(Rosters!I8="*",Rosters!J8,IF(Rosters!I9="*",Rosters!J9,""))))</f>
        <v>Kyren Williams (LAR)</v>
      </c>
      <c r="C27" s="57">
        <v>0.0</v>
      </c>
      <c r="D27" s="57"/>
      <c r="E27" s="57"/>
      <c r="F27" s="57">
        <v>1.0</v>
      </c>
      <c r="G27" s="57"/>
      <c r="H27" s="57"/>
      <c r="I27" s="57"/>
      <c r="J27" s="57"/>
      <c r="K27" s="57"/>
      <c r="L27" s="58"/>
      <c r="M27" s="54">
        <f t="shared" si="3"/>
        <v>6</v>
      </c>
      <c r="N27" s="61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55"/>
      <c r="B28" s="56" t="str">
        <f>IF(Rosters!I9="*",Rosters!J9,IF(Rosters!I8="*",Rosters!J8,IF(Rosters!I7="*",Rosters!J7,IF(Rosters!I6="*",Rosters!J6,""))))</f>
        <v>Blake Corum (LAR)</v>
      </c>
      <c r="C28" s="57">
        <v>0.0</v>
      </c>
      <c r="D28" s="57">
        <v>81.0</v>
      </c>
      <c r="E28" s="57"/>
      <c r="F28" s="57">
        <v>1.0</v>
      </c>
      <c r="G28" s="57"/>
      <c r="H28" s="57"/>
      <c r="I28" s="57"/>
      <c r="J28" s="57"/>
      <c r="K28" s="57"/>
      <c r="L28" s="60"/>
      <c r="M28" s="54">
        <f t="shared" si="3"/>
        <v>8</v>
      </c>
      <c r="N28" s="61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55"/>
      <c r="B29" s="56" t="str">
        <f>IF(Rosters!I11="*",Rosters!J11,IF(Rosters!I12="*",Rosters!J12,IF(Rosters!I13="*",Rosters!J13,IF(Rosters!I14="*",Rosters!J14,""))))</f>
        <v>Ja'Marr Chase (Cin)</v>
      </c>
      <c r="C29" s="57">
        <v>0.0</v>
      </c>
      <c r="D29" s="57"/>
      <c r="E29" s="57">
        <v>110.0</v>
      </c>
      <c r="F29" s="57"/>
      <c r="G29" s="57"/>
      <c r="H29" s="57"/>
      <c r="I29" s="57"/>
      <c r="J29" s="57"/>
      <c r="K29" s="57"/>
      <c r="L29" s="58"/>
      <c r="M29" s="54">
        <f t="shared" si="3"/>
        <v>3</v>
      </c>
      <c r="N29" s="61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55"/>
      <c r="B30" s="56" t="str">
        <f>IF(Rosters!I14="*",Rosters!J14,IF(Rosters!I13="*",Rosters!J13,IF(Rosters!I12="*",Rosters!J12,IF(Rosters!I11="*",Rosters!J11,""))))</f>
        <v>Michael Pittman (Ind)</v>
      </c>
      <c r="C30" s="57">
        <v>0.0</v>
      </c>
      <c r="D30" s="57"/>
      <c r="E30" s="57"/>
      <c r="F30" s="57"/>
      <c r="G30" s="57"/>
      <c r="H30" s="57"/>
      <c r="I30" s="57"/>
      <c r="J30" s="57"/>
      <c r="K30" s="57"/>
      <c r="L30" s="58"/>
      <c r="M30" s="54">
        <f t="shared" si="3"/>
        <v>0</v>
      </c>
      <c r="N30" s="61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55"/>
      <c r="B31" s="56" t="str">
        <f>IF(Rosters!I16="*",Rosters!J16,IF(Rosters!I17="*",Rosters!J17,IF(Rosters!I18="*",Rosters!J18,"")))</f>
        <v>Dallas Goedert (Phi)</v>
      </c>
      <c r="C31" s="57">
        <v>0.0</v>
      </c>
      <c r="D31" s="57"/>
      <c r="E31" s="57"/>
      <c r="F31" s="57"/>
      <c r="G31" s="57"/>
      <c r="H31" s="57"/>
      <c r="I31" s="57"/>
      <c r="J31" s="57"/>
      <c r="K31" s="57"/>
      <c r="L31" s="60"/>
      <c r="M31" s="62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>0</v>
      </c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63"/>
      <c r="B32" s="64"/>
      <c r="C32" s="65" t="s">
        <v>303</v>
      </c>
      <c r="D32" s="65" t="s">
        <v>304</v>
      </c>
      <c r="E32" s="65" t="s">
        <v>305</v>
      </c>
      <c r="F32" s="66" t="s">
        <v>306</v>
      </c>
      <c r="G32" s="65" t="s">
        <v>307</v>
      </c>
      <c r="H32" s="65" t="s">
        <v>308</v>
      </c>
      <c r="I32" s="65" t="s">
        <v>309</v>
      </c>
      <c r="J32" s="65" t="s">
        <v>310</v>
      </c>
      <c r="K32" s="65" t="s">
        <v>311</v>
      </c>
      <c r="L32" s="60" t="s">
        <v>312</v>
      </c>
      <c r="M32" s="62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55"/>
      <c r="B33" s="56" t="str">
        <f>IF(Rosters!I21="*",Rosters!J21,IF(Rosters!I20="*",Rosters!J20,""))</f>
        <v>Cameron Dicker (LAC)</v>
      </c>
      <c r="C33" s="57">
        <v>55.0</v>
      </c>
      <c r="D33" s="57"/>
      <c r="E33" s="57"/>
      <c r="F33" s="57"/>
      <c r="G33" s="57"/>
      <c r="H33" s="57"/>
      <c r="I33" s="57"/>
      <c r="J33" s="57">
        <v>4.0</v>
      </c>
      <c r="K33" s="57"/>
      <c r="L33" s="57"/>
      <c r="M33" s="62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>8</v>
      </c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63"/>
      <c r="B34" s="64"/>
      <c r="C34" s="65" t="s">
        <v>313</v>
      </c>
      <c r="D34" s="65" t="s">
        <v>314</v>
      </c>
      <c r="E34" s="65" t="s">
        <v>297</v>
      </c>
      <c r="F34" s="65" t="s">
        <v>315</v>
      </c>
      <c r="G34" s="65" t="s">
        <v>295</v>
      </c>
      <c r="H34" s="66" t="s">
        <v>316</v>
      </c>
      <c r="I34" s="65" t="s">
        <v>317</v>
      </c>
      <c r="J34" s="65" t="s">
        <v>318</v>
      </c>
      <c r="K34" s="65"/>
      <c r="L34" s="60"/>
      <c r="M34" s="62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55"/>
      <c r="B35" s="56" t="str">
        <f>IF(Rosters!I23="*",Rosters!J23,IF(Rosters!I24="*",Rosters!J24,""))</f>
        <v>San Francisco</v>
      </c>
      <c r="C35" s="57">
        <v>8.0</v>
      </c>
      <c r="D35" s="57">
        <v>3.0</v>
      </c>
      <c r="E35" s="57"/>
      <c r="F35" s="57">
        <v>2.0</v>
      </c>
      <c r="G35" s="57"/>
      <c r="H35" s="57"/>
      <c r="I35" s="57"/>
      <c r="J35" s="57"/>
      <c r="K35" s="66"/>
      <c r="L35" s="60"/>
      <c r="M35" s="62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>13</v>
      </c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63"/>
      <c r="B36" s="64"/>
      <c r="C36" s="66"/>
      <c r="D36" s="65"/>
      <c r="E36" s="65"/>
      <c r="F36" s="65"/>
      <c r="G36" s="65"/>
      <c r="H36" s="65"/>
      <c r="I36" s="65"/>
      <c r="J36" s="65"/>
      <c r="K36" s="65"/>
      <c r="L36" s="60"/>
      <c r="M36" s="62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67"/>
      <c r="B37" s="68" t="str">
        <f>IF(Rosters!I27="*",Rosters!J27,IF(Rosters!I26="*",Rosters!J26,""))</f>
        <v>John Harbaugh (Bal)</v>
      </c>
      <c r="C37" s="69">
        <v>0.0</v>
      </c>
      <c r="D37" s="70"/>
      <c r="E37" s="70"/>
      <c r="F37" s="70"/>
      <c r="G37" s="70"/>
      <c r="H37" s="70"/>
      <c r="I37" s="70"/>
      <c r="J37" s="70"/>
      <c r="K37" s="70"/>
      <c r="L37" s="71"/>
      <c r="M37" s="72">
        <f>C37</f>
        <v>0</v>
      </c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73" t="s">
        <v>321</v>
      </c>
      <c r="B38" s="56" t="str">
        <f>IF(Rosters!L2="*",Rosters!M2,IF(Rosters!L3="*",Rosters!M3,IF(Rosters!L4="*",Rosters!M4,"")))</f>
        <v>Jalen Hurts (Phi)</v>
      </c>
      <c r="C38" s="52">
        <v>230.0</v>
      </c>
      <c r="D38" s="52"/>
      <c r="E38" s="52"/>
      <c r="F38" s="52">
        <v>2.0</v>
      </c>
      <c r="G38" s="52"/>
      <c r="H38" s="52">
        <v>1.0</v>
      </c>
      <c r="I38" s="52"/>
      <c r="J38" s="52">
        <v>1.0</v>
      </c>
      <c r="K38" s="52"/>
      <c r="L38" s="53"/>
      <c r="M38" s="54">
        <f t="shared" ref="M38:M42" si="4"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>12</v>
      </c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55"/>
      <c r="B39" s="56" t="str">
        <f>IF(Rosters!L6="*",Rosters!M6,IF(Rosters!L7="*",Rosters!M7,IF(Rosters!L8="*",Rosters!M8,IF(Rosters!L9="*",Rosters!M9,""))))</f>
        <v>De'Von Achane (Mia)</v>
      </c>
      <c r="C39" s="57">
        <v>0.0</v>
      </c>
      <c r="D39" s="57">
        <v>134.0</v>
      </c>
      <c r="E39" s="57"/>
      <c r="F39" s="57">
        <v>1.0</v>
      </c>
      <c r="G39" s="57"/>
      <c r="H39" s="57"/>
      <c r="I39" s="57"/>
      <c r="J39" s="57"/>
      <c r="K39" s="57"/>
      <c r="L39" s="58"/>
      <c r="M39" s="54">
        <f t="shared" si="4"/>
        <v>10</v>
      </c>
      <c r="N39" s="61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55"/>
      <c r="B40" s="56" t="str">
        <f>IF(Rosters!L9="*",Rosters!M9,IF(Rosters!L8="*",Rosters!M8,IF(Rosters!L7="*",Rosters!M7,IF(Rosters!L6="*",Rosters!M6,""))))</f>
        <v>Woody Marks (Hou)</v>
      </c>
      <c r="C40" s="57">
        <v>0.0</v>
      </c>
      <c r="D40" s="57"/>
      <c r="E40" s="57"/>
      <c r="F40" s="57"/>
      <c r="G40" s="57"/>
      <c r="H40" s="57"/>
      <c r="I40" s="57"/>
      <c r="J40" s="57"/>
      <c r="K40" s="57"/>
      <c r="L40" s="60"/>
      <c r="M40" s="54">
        <f t="shared" si="4"/>
        <v>0</v>
      </c>
      <c r="N40" s="61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55"/>
      <c r="B41" s="56" t="str">
        <f>IF(Rosters!L11="*",Rosters!M11,IF(Rosters!L12="*",Rosters!M12,IF(Rosters!L13="*",Rosters!M13,IF(Rosters!L14="*",Rosters!M14,""))))</f>
        <v>Deebo Samuel (Was)</v>
      </c>
      <c r="C41" s="57">
        <v>0.0</v>
      </c>
      <c r="D41" s="57"/>
      <c r="E41" s="57"/>
      <c r="F41" s="57"/>
      <c r="G41" s="57"/>
      <c r="H41" s="57"/>
      <c r="I41" s="57"/>
      <c r="J41" s="57"/>
      <c r="K41" s="57"/>
      <c r="L41" s="58"/>
      <c r="M41" s="54">
        <f t="shared" si="4"/>
        <v>0</v>
      </c>
      <c r="N41" s="61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55"/>
      <c r="B42" s="56" t="str">
        <f>IF(Rosters!L14="*",Rosters!M14,IF(Rosters!L13="*",Rosters!M13,IF(Rosters!L12="*",Rosters!M12,IF(Rosters!L11="*",Rosters!M11,""))))</f>
        <v>Emeka Egbuka (TB)</v>
      </c>
      <c r="C42" s="57">
        <v>0.0</v>
      </c>
      <c r="D42" s="57"/>
      <c r="E42" s="57"/>
      <c r="F42" s="57"/>
      <c r="G42" s="57"/>
      <c r="H42" s="57"/>
      <c r="I42" s="57"/>
      <c r="J42" s="57"/>
      <c r="K42" s="57"/>
      <c r="L42" s="58"/>
      <c r="M42" s="54">
        <f t="shared" si="4"/>
        <v>0</v>
      </c>
      <c r="N42" s="61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55"/>
      <c r="B43" s="56" t="str">
        <f>IF(Rosters!L16="*",Rosters!M16,IF(Rosters!L17="*",Rosters!M17,IF(Rosters!L18="*",Rosters!M18,"")))</f>
        <v>Travis Kelce (KC)</v>
      </c>
      <c r="C43" s="57">
        <v>0.0</v>
      </c>
      <c r="D43" s="57"/>
      <c r="E43" s="57"/>
      <c r="F43" s="57">
        <v>1.0</v>
      </c>
      <c r="G43" s="57"/>
      <c r="H43" s="57"/>
      <c r="I43" s="57"/>
      <c r="J43" s="57"/>
      <c r="K43" s="57"/>
      <c r="L43" s="60"/>
      <c r="M43" s="62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>6</v>
      </c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63"/>
      <c r="B44" s="64"/>
      <c r="C44" s="65" t="s">
        <v>303</v>
      </c>
      <c r="D44" s="65" t="s">
        <v>304</v>
      </c>
      <c r="E44" s="65" t="s">
        <v>305</v>
      </c>
      <c r="F44" s="66" t="s">
        <v>306</v>
      </c>
      <c r="G44" s="65" t="s">
        <v>307</v>
      </c>
      <c r="H44" s="65" t="s">
        <v>308</v>
      </c>
      <c r="I44" s="65" t="s">
        <v>309</v>
      </c>
      <c r="J44" s="65" t="s">
        <v>310</v>
      </c>
      <c r="K44" s="65" t="s">
        <v>311</v>
      </c>
      <c r="L44" s="60" t="s">
        <v>312</v>
      </c>
      <c r="M44" s="62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55"/>
      <c r="B45" s="56" t="str">
        <f>IF(Rosters!L21="*",Rosters!M21,IF(Rosters!L20="*",Rosters!M20,""))</f>
        <v>Chris Boswell (Pit)</v>
      </c>
      <c r="C45" s="57">
        <v>0.0</v>
      </c>
      <c r="D45" s="57"/>
      <c r="E45" s="57"/>
      <c r="F45" s="57"/>
      <c r="G45" s="57"/>
      <c r="H45" s="57"/>
      <c r="I45" s="57"/>
      <c r="J45" s="57">
        <v>1.0</v>
      </c>
      <c r="K45" s="57"/>
      <c r="L45" s="57"/>
      <c r="M45" s="62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>1</v>
      </c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63"/>
      <c r="B46" s="64"/>
      <c r="C46" s="65" t="s">
        <v>313</v>
      </c>
      <c r="D46" s="65" t="s">
        <v>314</v>
      </c>
      <c r="E46" s="65" t="s">
        <v>297</v>
      </c>
      <c r="F46" s="65" t="s">
        <v>315</v>
      </c>
      <c r="G46" s="65" t="s">
        <v>295</v>
      </c>
      <c r="H46" s="66" t="s">
        <v>316</v>
      </c>
      <c r="I46" s="65" t="s">
        <v>317</v>
      </c>
      <c r="J46" s="65" t="s">
        <v>318</v>
      </c>
      <c r="K46" s="65"/>
      <c r="L46" s="60"/>
      <c r="M46" s="62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55"/>
      <c r="B47" s="56" t="str">
        <f>IF(Rosters!L23="*",Rosters!M23,IF(Rosters!L24="*",Rosters!M24,""))</f>
        <v>LA Rams</v>
      </c>
      <c r="C47" s="57">
        <v>31.0</v>
      </c>
      <c r="D47" s="57">
        <v>2.0</v>
      </c>
      <c r="E47" s="57"/>
      <c r="F47" s="57"/>
      <c r="G47" s="57"/>
      <c r="H47" s="57"/>
      <c r="I47" s="57"/>
      <c r="J47" s="57"/>
      <c r="K47" s="66"/>
      <c r="L47" s="60"/>
      <c r="M47" s="62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>0</v>
      </c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63"/>
      <c r="B48" s="64"/>
      <c r="C48" s="66"/>
      <c r="D48" s="65"/>
      <c r="E48" s="65"/>
      <c r="F48" s="65"/>
      <c r="G48" s="65"/>
      <c r="H48" s="65"/>
      <c r="I48" s="65"/>
      <c r="J48" s="65"/>
      <c r="K48" s="65"/>
      <c r="L48" s="60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67"/>
      <c r="B49" s="68" t="str">
        <f>IF(Rosters!L27="*",Rosters!M27,IF(Rosters!L26="*",Rosters!M26,""))</f>
        <v>Kyle Shanahan (SF)</v>
      </c>
      <c r="C49" s="69">
        <v>5.0</v>
      </c>
      <c r="D49" s="70"/>
      <c r="E49" s="70"/>
      <c r="F49" s="70"/>
      <c r="G49" s="70"/>
      <c r="H49" s="70"/>
      <c r="I49" s="70"/>
      <c r="J49" s="70"/>
      <c r="K49" s="70"/>
      <c r="L49" s="71"/>
      <c r="M49" s="72">
        <f>C49</f>
        <v>5</v>
      </c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50" t="s">
        <v>322</v>
      </c>
      <c r="B50" s="56" t="str">
        <f>IF(Rosters!O2="*",Rosters!P2,IF(Rosters!O3="*",Rosters!P3,IF(Rosters!O4="*",Rosters!P4,"")))</f>
        <v>Josh Allen (Buf)</v>
      </c>
      <c r="C50" s="52">
        <v>0.0</v>
      </c>
      <c r="D50" s="52"/>
      <c r="E50" s="52"/>
      <c r="F50" s="52">
        <v>2.0</v>
      </c>
      <c r="G50" s="52"/>
      <c r="H50" s="52">
        <v>1.0</v>
      </c>
      <c r="I50" s="52"/>
      <c r="J50" s="52"/>
      <c r="K50" s="52"/>
      <c r="L50" s="53"/>
      <c r="M50" s="54">
        <f t="shared" ref="M50:M54" si="5"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>11</v>
      </c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55"/>
      <c r="B51" s="56" t="str">
        <f>IF(Rosters!O6="*",Rosters!P6,IF(Rosters!O7="*",Rosters!P7,IF(Rosters!O8="*",Rosters!P8,IF(Rosters!O9="*",Rosters!P9,""))))</f>
        <v>Zach Charbonnet (Sea)</v>
      </c>
      <c r="C51" s="57">
        <v>0.0</v>
      </c>
      <c r="D51" s="57"/>
      <c r="E51" s="57"/>
      <c r="F51" s="57">
        <v>1.0</v>
      </c>
      <c r="G51" s="57"/>
      <c r="H51" s="57"/>
      <c r="I51" s="57"/>
      <c r="J51" s="57"/>
      <c r="K51" s="57"/>
      <c r="L51" s="58"/>
      <c r="M51" s="54">
        <f t="shared" si="5"/>
        <v>6</v>
      </c>
      <c r="N51" s="61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55"/>
      <c r="B52" s="56" t="str">
        <f>IF(Rosters!O9="*",Rosters!P9,IF(Rosters!O8="*",Rosters!P8,IF(Rosters!O7="*",Rosters!P7,IF(Rosters!O6="*",Rosters!P6,""))))</f>
        <v>Tyjae Spears (Ten)</v>
      </c>
      <c r="C52" s="57">
        <v>0.0</v>
      </c>
      <c r="D52" s="57"/>
      <c r="E52" s="57"/>
      <c r="F52" s="57"/>
      <c r="G52" s="57"/>
      <c r="H52" s="57"/>
      <c r="I52" s="57"/>
      <c r="J52" s="57"/>
      <c r="K52" s="57"/>
      <c r="L52" s="60"/>
      <c r="M52" s="54">
        <f t="shared" si="5"/>
        <v>0</v>
      </c>
      <c r="N52" s="61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55"/>
      <c r="B53" s="56" t="str">
        <f>IF(Rosters!O11="*",Rosters!P11,IF(Rosters!O12="*",Rosters!P12,IF(Rosters!O13="*",Rosters!P13,IF(Rosters!O14="*",Rosters!P14,""))))</f>
        <v>Amon-Ra St. Brown (Det)</v>
      </c>
      <c r="C53" s="57">
        <v>0.0</v>
      </c>
      <c r="D53" s="57"/>
      <c r="E53" s="57"/>
      <c r="F53" s="57"/>
      <c r="G53" s="57"/>
      <c r="H53" s="57"/>
      <c r="I53" s="57"/>
      <c r="J53" s="57"/>
      <c r="K53" s="57"/>
      <c r="L53" s="58"/>
      <c r="M53" s="54">
        <f t="shared" si="5"/>
        <v>0</v>
      </c>
      <c r="N53" s="61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55"/>
      <c r="B54" s="56" t="str">
        <f>IF(Rosters!O14="*",Rosters!P14,IF(Rosters!O13="*",Rosters!P13,IF(Rosters!O12="*",Rosters!P12,IF(Rosters!O11="*",Rosters!P11,""))))</f>
        <v>Marvin Harrison (Arz)</v>
      </c>
      <c r="C54" s="57">
        <v>0.0</v>
      </c>
      <c r="D54" s="57"/>
      <c r="E54" s="57"/>
      <c r="F54" s="57"/>
      <c r="G54" s="57"/>
      <c r="H54" s="57"/>
      <c r="I54" s="57"/>
      <c r="J54" s="57"/>
      <c r="K54" s="57"/>
      <c r="L54" s="58"/>
      <c r="M54" s="54">
        <f t="shared" si="5"/>
        <v>0</v>
      </c>
      <c r="N54" s="61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55"/>
      <c r="B55" s="56" t="str">
        <f>IF(Rosters!O16="*",Rosters!P16,IF(Rosters!O17="*",Rosters!P17,IF(Rosters!O18="*",Rosters!P18,"")))</f>
        <v>Brenton Strange (Jax)</v>
      </c>
      <c r="C55" s="57">
        <v>0.0</v>
      </c>
      <c r="D55" s="57"/>
      <c r="E55" s="57"/>
      <c r="F55" s="57">
        <v>1.0</v>
      </c>
      <c r="G55" s="57"/>
      <c r="H55" s="57"/>
      <c r="I55" s="57"/>
      <c r="J55" s="57"/>
      <c r="K55" s="57"/>
      <c r="L55" s="60"/>
      <c r="M55" s="62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>6</v>
      </c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63"/>
      <c r="B56" s="64"/>
      <c r="C56" s="65" t="s">
        <v>303</v>
      </c>
      <c r="D56" s="65" t="s">
        <v>304</v>
      </c>
      <c r="E56" s="65" t="s">
        <v>305</v>
      </c>
      <c r="F56" s="66" t="s">
        <v>306</v>
      </c>
      <c r="G56" s="65" t="s">
        <v>307</v>
      </c>
      <c r="H56" s="65" t="s">
        <v>308</v>
      </c>
      <c r="I56" s="65" t="s">
        <v>309</v>
      </c>
      <c r="J56" s="65" t="s">
        <v>310</v>
      </c>
      <c r="K56" s="65" t="s">
        <v>311</v>
      </c>
      <c r="L56" s="60" t="s">
        <v>312</v>
      </c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55"/>
      <c r="B57" s="56" t="str">
        <f>IF(Rosters!O21="*",Rosters!P21,IF(Rosters!O20="*",Rosters!P20,""))</f>
        <v>Tyler Loop (Bal)</v>
      </c>
      <c r="C57" s="57">
        <v>0.0</v>
      </c>
      <c r="D57" s="57"/>
      <c r="E57" s="57"/>
      <c r="F57" s="57"/>
      <c r="G57" s="57"/>
      <c r="H57" s="57"/>
      <c r="I57" s="57"/>
      <c r="J57" s="57">
        <v>2.0</v>
      </c>
      <c r="K57" s="57"/>
      <c r="L57" s="57"/>
      <c r="M57" s="62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>2</v>
      </c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63"/>
      <c r="B58" s="64"/>
      <c r="C58" s="65" t="s">
        <v>313</v>
      </c>
      <c r="D58" s="65" t="s">
        <v>314</v>
      </c>
      <c r="E58" s="65" t="s">
        <v>297</v>
      </c>
      <c r="F58" s="65" t="s">
        <v>315</v>
      </c>
      <c r="G58" s="65" t="s">
        <v>295</v>
      </c>
      <c r="H58" s="66" t="s">
        <v>316</v>
      </c>
      <c r="I58" s="65" t="s">
        <v>317</v>
      </c>
      <c r="J58" s="65" t="s">
        <v>318</v>
      </c>
      <c r="K58" s="65"/>
      <c r="L58" s="60"/>
      <c r="M58" s="62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55"/>
      <c r="B59" s="56" t="str">
        <f>IF(Rosters!O23="*",Rosters!P23,IF(Rosters!O24="*",Rosters!P24,""))</f>
        <v>New England</v>
      </c>
      <c r="C59" s="57">
        <v>15.0</v>
      </c>
      <c r="D59" s="57">
        <v>2.0</v>
      </c>
      <c r="E59" s="57"/>
      <c r="F59" s="57">
        <v>1.0</v>
      </c>
      <c r="G59" s="57"/>
      <c r="H59" s="57"/>
      <c r="I59" s="57"/>
      <c r="J59" s="57"/>
      <c r="K59" s="66"/>
      <c r="L59" s="60"/>
      <c r="M59" s="62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>6</v>
      </c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63"/>
      <c r="B60" s="64"/>
      <c r="C60" s="66"/>
      <c r="D60" s="65"/>
      <c r="E60" s="65"/>
      <c r="F60" s="65"/>
      <c r="G60" s="65"/>
      <c r="H60" s="65"/>
      <c r="I60" s="65"/>
      <c r="J60" s="65"/>
      <c r="K60" s="65"/>
      <c r="L60" s="60"/>
      <c r="M60" s="62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67"/>
      <c r="B61" s="68" t="str">
        <f>IF(Rosters!O27="*",Rosters!P27,IF(Rosters!O26="*",Rosters!P26,""))</f>
        <v>Mike Vrabel (NE)</v>
      </c>
      <c r="C61" s="69">
        <v>4.0</v>
      </c>
      <c r="D61" s="70"/>
      <c r="E61" s="70"/>
      <c r="F61" s="70"/>
      <c r="G61" s="70"/>
      <c r="H61" s="70"/>
      <c r="I61" s="70"/>
      <c r="J61" s="70"/>
      <c r="K61" s="70"/>
      <c r="L61" s="71"/>
      <c r="M61" s="72">
        <f>C61</f>
        <v>4</v>
      </c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50" t="s">
        <v>323</v>
      </c>
      <c r="B62" s="56" t="str">
        <f>IF(Rosters!R2="*",Rosters!S2,IF(Rosters!R3="*",Rosters!S3,IF(Rosters!R4="*",Rosters!S4,"")))</f>
        <v>Baker Mayfield (TB)</v>
      </c>
      <c r="C62" s="52">
        <v>0.0</v>
      </c>
      <c r="D62" s="52"/>
      <c r="E62" s="52"/>
      <c r="F62" s="52">
        <v>1.0</v>
      </c>
      <c r="G62" s="52"/>
      <c r="H62" s="52"/>
      <c r="I62" s="52"/>
      <c r="J62" s="52"/>
      <c r="K62" s="52"/>
      <c r="L62" s="53"/>
      <c r="M62" s="54">
        <f t="shared" ref="M62:M66" si="6"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>6</v>
      </c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55"/>
      <c r="B63" s="56" t="str">
        <f>IF(Rosters!R6="*",Rosters!S6,IF(Rosters!R7="*",Rosters!S7,IF(Rosters!R8="*",Rosters!S8,IF(Rosters!R9="*",Rosters!S9,""))))</f>
        <v>Quinshon Judkins (CLE)</v>
      </c>
      <c r="C63" s="57">
        <v>0.0</v>
      </c>
      <c r="D63" s="57">
        <v>91.0</v>
      </c>
      <c r="E63" s="57">
        <v>18.0</v>
      </c>
      <c r="F63" s="57"/>
      <c r="G63" s="57">
        <v>1.0</v>
      </c>
      <c r="H63" s="57"/>
      <c r="I63" s="57"/>
      <c r="J63" s="57"/>
      <c r="K63" s="57"/>
      <c r="L63" s="58"/>
      <c r="M63" s="54">
        <f t="shared" si="6"/>
        <v>4</v>
      </c>
      <c r="N63" s="61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55"/>
      <c r="B64" s="56" t="str">
        <f>IF(Rosters!R9="*",Rosters!S9,IF(Rosters!R8="*",Rosters!S8,IF(Rosters!R7="*",Rosters!S7,IF(Rosters!R6="*",Rosters!S6,""))))</f>
        <v>Jaylen Warren (Pit)</v>
      </c>
      <c r="C64" s="57">
        <v>0.0</v>
      </c>
      <c r="D64" s="57"/>
      <c r="E64" s="57"/>
      <c r="F64" s="57">
        <v>1.0</v>
      </c>
      <c r="G64" s="57"/>
      <c r="H64" s="57"/>
      <c r="I64" s="57"/>
      <c r="J64" s="57"/>
      <c r="K64" s="57"/>
      <c r="L64" s="60"/>
      <c r="M64" s="54">
        <f t="shared" si="6"/>
        <v>6</v>
      </c>
      <c r="N64" s="61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55"/>
      <c r="B65" s="56" t="str">
        <f>IF(Rosters!R11="*",Rosters!S11,IF(Rosters!R12="*",Rosters!S12,IF(Rosters!R13="*",Rosters!S13,IF(Rosters!R14="*",Rosters!S14,""))))</f>
        <v>Jaxon Smith-Njigba (Sea)</v>
      </c>
      <c r="C65" s="57">
        <v>0.0</v>
      </c>
      <c r="D65" s="57"/>
      <c r="E65" s="57"/>
      <c r="F65" s="57"/>
      <c r="G65" s="57"/>
      <c r="H65" s="57"/>
      <c r="I65" s="57"/>
      <c r="J65" s="57"/>
      <c r="K65" s="57"/>
      <c r="L65" s="58"/>
      <c r="M65" s="54">
        <f t="shared" si="6"/>
        <v>0</v>
      </c>
      <c r="N65" s="61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55"/>
      <c r="B66" s="56" t="str">
        <f>IF(Rosters!R14="*",Rosters!S14,IF(Rosters!R13="*",Rosters!S13,IF(Rosters!R12="*",Rosters!S12,IF(Rosters!R11="*",Rosters!S11,""))))</f>
        <v>Rashee Rice (KC)</v>
      </c>
      <c r="C66" s="57">
        <v>0.0</v>
      </c>
      <c r="D66" s="57"/>
      <c r="E66" s="57">
        <v>92.0</v>
      </c>
      <c r="F66" s="57">
        <v>2.0</v>
      </c>
      <c r="G66" s="57"/>
      <c r="H66" s="57"/>
      <c r="I66" s="57"/>
      <c r="J66" s="57"/>
      <c r="K66" s="57"/>
      <c r="L66" s="58"/>
      <c r="M66" s="54">
        <f t="shared" si="6"/>
        <v>14</v>
      </c>
      <c r="N66" s="61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55"/>
      <c r="B67" s="56" t="str">
        <f>IF(Rosters!R16="*",Rosters!S16,IF(Rosters!R17="*",Rosters!S17,IF(Rosters!R18="*",Rosters!S18,"")))</f>
        <v>Jake Ferguson (Dal)</v>
      </c>
      <c r="C67" s="57">
        <v>0.0</v>
      </c>
      <c r="D67" s="57"/>
      <c r="E67" s="57"/>
      <c r="F67" s="57"/>
      <c r="G67" s="57"/>
      <c r="H67" s="57"/>
      <c r="I67" s="57"/>
      <c r="J67" s="57"/>
      <c r="K67" s="57"/>
      <c r="L67" s="60"/>
      <c r="M67" s="62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>0</v>
      </c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63"/>
      <c r="B68" s="64"/>
      <c r="C68" s="65" t="s">
        <v>303</v>
      </c>
      <c r="D68" s="65" t="s">
        <v>304</v>
      </c>
      <c r="E68" s="65" t="s">
        <v>305</v>
      </c>
      <c r="F68" s="66" t="s">
        <v>306</v>
      </c>
      <c r="G68" s="65" t="s">
        <v>307</v>
      </c>
      <c r="H68" s="65" t="s">
        <v>308</v>
      </c>
      <c r="I68" s="65" t="s">
        <v>309</v>
      </c>
      <c r="J68" s="65" t="s">
        <v>310</v>
      </c>
      <c r="K68" s="65" t="s">
        <v>311</v>
      </c>
      <c r="L68" s="60" t="s">
        <v>312</v>
      </c>
      <c r="M68" s="62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55"/>
      <c r="B69" s="56" t="str">
        <f>IF(Rosters!R21="*",Rosters!S21,IF(Rosters!R20="*",Rosters!S20,""))</f>
        <v>Jason Myers (Sea)</v>
      </c>
      <c r="C69" s="57">
        <v>35.0</v>
      </c>
      <c r="D69" s="57">
        <v>45.0</v>
      </c>
      <c r="E69" s="57">
        <v>55.0</v>
      </c>
      <c r="F69" s="57">
        <v>55.0</v>
      </c>
      <c r="G69" s="57"/>
      <c r="H69" s="57"/>
      <c r="I69" s="57"/>
      <c r="J69" s="57">
        <v>2.0</v>
      </c>
      <c r="K69" s="57"/>
      <c r="L69" s="57"/>
      <c r="M69" s="62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>15</v>
      </c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63"/>
      <c r="B70" s="64"/>
      <c r="C70" s="65" t="s">
        <v>313</v>
      </c>
      <c r="D70" s="65" t="s">
        <v>314</v>
      </c>
      <c r="E70" s="65" t="s">
        <v>297</v>
      </c>
      <c r="F70" s="65" t="s">
        <v>315</v>
      </c>
      <c r="G70" s="65" t="s">
        <v>295</v>
      </c>
      <c r="H70" s="66" t="s">
        <v>316</v>
      </c>
      <c r="I70" s="65" t="s">
        <v>317</v>
      </c>
      <c r="J70" s="65" t="s">
        <v>318</v>
      </c>
      <c r="K70" s="65"/>
      <c r="L70" s="60"/>
      <c r="M70" s="62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55"/>
      <c r="B71" s="56" t="str">
        <f>IF(Rosters!R23="*",Rosters!S23,IF(Rosters!R24="*",Rosters!S24,""))</f>
        <v>Seattle</v>
      </c>
      <c r="C71" s="57">
        <v>0.0</v>
      </c>
      <c r="D71" s="57">
        <v>4.0</v>
      </c>
      <c r="E71" s="57">
        <v>4.0</v>
      </c>
      <c r="F71" s="57">
        <v>1.0</v>
      </c>
      <c r="G71" s="57">
        <v>1.0</v>
      </c>
      <c r="H71" s="57"/>
      <c r="I71" s="57"/>
      <c r="J71" s="57"/>
      <c r="K71" s="66"/>
      <c r="L71" s="60"/>
      <c r="M71" s="62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>26</v>
      </c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63"/>
      <c r="B72" s="64"/>
      <c r="C72" s="66"/>
      <c r="D72" s="65"/>
      <c r="E72" s="65"/>
      <c r="F72" s="65"/>
      <c r="G72" s="65"/>
      <c r="H72" s="65"/>
      <c r="I72" s="65"/>
      <c r="J72" s="65"/>
      <c r="K72" s="65"/>
      <c r="L72" s="60"/>
      <c r="M72" s="62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67"/>
      <c r="B73" s="68" t="str">
        <f>IF(Rosters!R27="*",Rosters!S27,IF(Rosters!R26="*",Rosters!S26,""))</f>
        <v>Todd Bowles (TB)</v>
      </c>
      <c r="C73" s="69">
        <v>4.0</v>
      </c>
      <c r="D73" s="70"/>
      <c r="E73" s="70"/>
      <c r="F73" s="70"/>
      <c r="G73" s="70"/>
      <c r="H73" s="70"/>
      <c r="I73" s="70"/>
      <c r="J73" s="70"/>
      <c r="K73" s="70"/>
      <c r="L73" s="71"/>
      <c r="M73" s="72">
        <f>C73</f>
        <v>4</v>
      </c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50" t="s">
        <v>324</v>
      </c>
      <c r="B74" s="56" t="str">
        <f>IF(Rosters!C40="*",Rosters!D40,IF(Rosters!C41="*",Rosters!D41,IF(Rosters!C42="*",Rosters!D42,"")))</f>
        <v>Justin Herbert (LAC)</v>
      </c>
      <c r="C74" s="52">
        <v>0.0</v>
      </c>
      <c r="D74" s="52"/>
      <c r="E74" s="52"/>
      <c r="F74" s="52">
        <v>2.0</v>
      </c>
      <c r="G74" s="52"/>
      <c r="H74" s="52">
        <v>1.0</v>
      </c>
      <c r="I74" s="52"/>
      <c r="J74" s="52"/>
      <c r="K74" s="52"/>
      <c r="L74" s="53"/>
      <c r="M74" s="54">
        <f t="shared" ref="M74:M78" si="7"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>11</v>
      </c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55"/>
      <c r="B75" s="56" t="str">
        <f>IF(Rosters!C44="*",Rosters!D44,IF(Rosters!C45="*",Rosters!D45,IF(Rosters!C46="*",Rosters!D46,IF(Rosters!C47="*",Rosters!D47,""))))</f>
        <v>TreVeyon Henderson (NE)</v>
      </c>
      <c r="C75" s="57">
        <v>0.0</v>
      </c>
      <c r="D75" s="57"/>
      <c r="E75" s="57"/>
      <c r="F75" s="57"/>
      <c r="G75" s="57"/>
      <c r="H75" s="57"/>
      <c r="I75" s="57"/>
      <c r="J75" s="57"/>
      <c r="K75" s="57"/>
      <c r="L75" s="58"/>
      <c r="M75" s="54">
        <f t="shared" si="7"/>
        <v>0</v>
      </c>
      <c r="N75" s="61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55"/>
      <c r="B76" s="56" t="str">
        <f>IF(Rosters!C47="*",Rosters!D47,IF(Rosters!C46="*",Rosters!D46,IF(Rosters!C45="*",Rosters!D45,IF(Rosters!C44="*",Rosters!D44,""))))</f>
        <v>Javonte Williams (Dal)</v>
      </c>
      <c r="C76" s="57">
        <v>0.0</v>
      </c>
      <c r="D76" s="57"/>
      <c r="E76" s="57"/>
      <c r="F76" s="57">
        <v>1.0</v>
      </c>
      <c r="G76" s="57"/>
      <c r="H76" s="57"/>
      <c r="I76" s="57"/>
      <c r="J76" s="57"/>
      <c r="K76" s="57"/>
      <c r="L76" s="60"/>
      <c r="M76" s="54">
        <f t="shared" si="7"/>
        <v>6</v>
      </c>
      <c r="N76" s="61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55"/>
      <c r="B77" s="56" t="str">
        <f>IF(Rosters!C49="*",Rosters!D49,IF(Rosters!C50="*",Rosters!D50,IF(Rosters!C51="*",Rosters!D51,IF(Rosters!C52="*",Rosters!D52,""))))</f>
        <v>Nico Collins (Hou)</v>
      </c>
      <c r="C77" s="57">
        <v>0.0</v>
      </c>
      <c r="D77" s="57"/>
      <c r="E77" s="57">
        <v>98.0</v>
      </c>
      <c r="F77" s="57">
        <v>1.0</v>
      </c>
      <c r="G77" s="57"/>
      <c r="H77" s="57"/>
      <c r="I77" s="57"/>
      <c r="J77" s="57"/>
      <c r="K77" s="57"/>
      <c r="L77" s="58"/>
      <c r="M77" s="54">
        <f t="shared" si="7"/>
        <v>8</v>
      </c>
      <c r="N77" s="61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55"/>
      <c r="B78" s="56" t="str">
        <f>IF(Rosters!C52="*",Rosters!D52,IF(Rosters!C51="*",Rosters!D51,IF(Rosters!C50="*",Rosters!D50,IF(Rosters!C49="*",Rosters!D49,""))))</f>
        <v>Khalil Shakir (Buf)</v>
      </c>
      <c r="C78" s="57">
        <v>0.0</v>
      </c>
      <c r="D78" s="57"/>
      <c r="E78" s="57"/>
      <c r="F78" s="57"/>
      <c r="G78" s="57"/>
      <c r="H78" s="57"/>
      <c r="I78" s="57"/>
      <c r="J78" s="57"/>
      <c r="K78" s="57"/>
      <c r="L78" s="58"/>
      <c r="M78" s="54">
        <f t="shared" si="7"/>
        <v>0</v>
      </c>
      <c r="N78" s="61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55"/>
      <c r="B79" s="56" t="str">
        <f>IF(Rosters!C54="*",Rosters!D54,IF(Rosters!C55="*",Rosters!D55,IF(Rosters!C56="*",Rosters!D56,"")))</f>
        <v>Hunter Henry (NE)</v>
      </c>
      <c r="C79" s="57">
        <v>0.0</v>
      </c>
      <c r="D79" s="57"/>
      <c r="E79" s="57">
        <v>73.0</v>
      </c>
      <c r="F79" s="57"/>
      <c r="G79" s="57"/>
      <c r="H79" s="57"/>
      <c r="I79" s="57"/>
      <c r="J79" s="57"/>
      <c r="K79" s="57"/>
      <c r="L79" s="60"/>
      <c r="M79" s="62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>2</v>
      </c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63"/>
      <c r="B80" s="64"/>
      <c r="C80" s="65" t="s">
        <v>303</v>
      </c>
      <c r="D80" s="65" t="s">
        <v>304</v>
      </c>
      <c r="E80" s="65" t="s">
        <v>305</v>
      </c>
      <c r="F80" s="66" t="s">
        <v>306</v>
      </c>
      <c r="G80" s="65" t="s">
        <v>307</v>
      </c>
      <c r="H80" s="65" t="s">
        <v>308</v>
      </c>
      <c r="I80" s="65" t="s">
        <v>309</v>
      </c>
      <c r="J80" s="65" t="s">
        <v>310</v>
      </c>
      <c r="K80" s="65" t="s">
        <v>311</v>
      </c>
      <c r="L80" s="60" t="s">
        <v>312</v>
      </c>
      <c r="M80" s="62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55"/>
      <c r="B81" s="56" t="str">
        <f>IF(Rosters!C58="*",Rosters!D58,IF(Rosters!C59="*",Rosters!D59,""))</f>
        <v>Evan McPherson (Cin)</v>
      </c>
      <c r="C81" s="57">
        <v>25.0</v>
      </c>
      <c r="D81" s="57">
        <v>35.0</v>
      </c>
      <c r="E81" s="57">
        <v>35.0</v>
      </c>
      <c r="F81" s="57">
        <v>45.0</v>
      </c>
      <c r="G81" s="57">
        <v>45.0</v>
      </c>
      <c r="H81" s="57">
        <v>55.0</v>
      </c>
      <c r="I81" s="57"/>
      <c r="J81" s="57">
        <v>2.0</v>
      </c>
      <c r="K81" s="57"/>
      <c r="L81" s="57"/>
      <c r="M81" s="62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>17</v>
      </c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63"/>
      <c r="B82" s="64"/>
      <c r="C82" s="65" t="s">
        <v>313</v>
      </c>
      <c r="D82" s="65" t="s">
        <v>314</v>
      </c>
      <c r="E82" s="65" t="s">
        <v>297</v>
      </c>
      <c r="F82" s="65" t="s">
        <v>315</v>
      </c>
      <c r="G82" s="65" t="s">
        <v>295</v>
      </c>
      <c r="H82" s="66" t="s">
        <v>316</v>
      </c>
      <c r="I82" s="65" t="s">
        <v>317</v>
      </c>
      <c r="J82" s="65" t="s">
        <v>318</v>
      </c>
      <c r="K82" s="65"/>
      <c r="L82" s="60"/>
      <c r="M82" s="62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55"/>
      <c r="B83" s="56" t="str">
        <f>IF(Rosters!C62="*",Rosters!D62,IF(Rosters!C61="*",Rosters!D61,""))</f>
        <v>Atlanta</v>
      </c>
      <c r="C83" s="57">
        <v>27.0</v>
      </c>
      <c r="D83" s="57">
        <v>2.0</v>
      </c>
      <c r="E83" s="57"/>
      <c r="F83" s="57"/>
      <c r="G83" s="57"/>
      <c r="H83" s="57"/>
      <c r="I83" s="57"/>
      <c r="J83" s="57"/>
      <c r="K83" s="66"/>
      <c r="L83" s="60"/>
      <c r="M83" s="62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>2</v>
      </c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63"/>
      <c r="B84" s="64"/>
      <c r="C84" s="66"/>
      <c r="D84" s="65"/>
      <c r="E84" s="65"/>
      <c r="F84" s="65"/>
      <c r="G84" s="65"/>
      <c r="H84" s="65"/>
      <c r="I84" s="65"/>
      <c r="J84" s="65"/>
      <c r="K84" s="65"/>
      <c r="L84" s="60"/>
      <c r="M84" s="62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67"/>
      <c r="B85" s="68" t="str">
        <f>IF(Rosters!C64="*",Rosters!D64,IF(Rosters!C65="*",Rosters!D65,""))</f>
        <v>Mike Macdonald (Sea)</v>
      </c>
      <c r="C85" s="69">
        <v>4.0</v>
      </c>
      <c r="D85" s="70"/>
      <c r="E85" s="70"/>
      <c r="F85" s="70"/>
      <c r="G85" s="70"/>
      <c r="H85" s="70"/>
      <c r="I85" s="70"/>
      <c r="J85" s="70"/>
      <c r="K85" s="70"/>
      <c r="L85" s="71"/>
      <c r="M85" s="72">
        <f>C85</f>
        <v>4</v>
      </c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73" t="s">
        <v>325</v>
      </c>
      <c r="B86" s="56" t="str">
        <f>IF(Rosters!F40="*",Rosters!G40,IF(Rosters!F41="*",Rosters!G41,IF(Rosters!F42="*",Rosters!G42,"")))</f>
        <v>Trevor Lawrence (Jax)</v>
      </c>
      <c r="C86" s="52">
        <v>229.0</v>
      </c>
      <c r="D86" s="52"/>
      <c r="E86" s="52"/>
      <c r="F86" s="52">
        <v>2.0</v>
      </c>
      <c r="G86" s="52">
        <v>1.0</v>
      </c>
      <c r="H86" s="52"/>
      <c r="I86" s="52"/>
      <c r="J86" s="52"/>
      <c r="K86" s="52"/>
      <c r="L86" s="53"/>
      <c r="M86" s="54">
        <f t="shared" ref="M86:M90" si="8"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>16</v>
      </c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55"/>
      <c r="B87" s="56" t="str">
        <f>IF(Rosters!F44="*",Rosters!G44,IF(Rosters!F45="*",Rosters!G45,IF(Rosters!F46="*",Rosters!G46,IF(Rosters!F47="*",Rosters!G47,""))))</f>
        <v>Kenneth Walker III (Sea)</v>
      </c>
      <c r="C87" s="57">
        <v>0.0</v>
      </c>
      <c r="D87" s="57"/>
      <c r="E87" s="57"/>
      <c r="F87" s="57"/>
      <c r="G87" s="57"/>
      <c r="H87" s="57"/>
      <c r="I87" s="57"/>
      <c r="J87" s="57"/>
      <c r="K87" s="57"/>
      <c r="L87" s="58"/>
      <c r="M87" s="54">
        <f t="shared" si="8"/>
        <v>0</v>
      </c>
      <c r="N87" s="61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55"/>
      <c r="B88" s="56" t="str">
        <f>IF(Rosters!F47="*",Rosters!G47,IF(Rosters!F46="*",Rosters!G46,IF(Rosters!F45="*",Rosters!G45,IF(Rosters!F44="*",Rosters!G44,""))))</f>
        <v>David Montgomery (Det)</v>
      </c>
      <c r="C88" s="57">
        <v>0.0</v>
      </c>
      <c r="D88" s="57"/>
      <c r="E88" s="57"/>
      <c r="F88" s="57">
        <v>1.0</v>
      </c>
      <c r="G88" s="57"/>
      <c r="H88" s="57"/>
      <c r="I88" s="57"/>
      <c r="J88" s="57"/>
      <c r="K88" s="57"/>
      <c r="L88" s="60"/>
      <c r="M88" s="54">
        <f t="shared" si="8"/>
        <v>6</v>
      </c>
      <c r="N88" s="61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55"/>
      <c r="B89" s="56" t="str">
        <f>IF(Rosters!F49="*",Rosters!G49,IF(Rosters!F50="*",Rosters!G50,IF(Rosters!F51="*",Rosters!G51,IF(Rosters!F52="*",Rosters!G52,""))))</f>
        <v>Ladd McConkey (LAC)</v>
      </c>
      <c r="C89" s="57">
        <v>0.0</v>
      </c>
      <c r="D89" s="57"/>
      <c r="E89" s="57"/>
      <c r="F89" s="57">
        <v>1.0</v>
      </c>
      <c r="G89" s="57"/>
      <c r="H89" s="57"/>
      <c r="I89" s="57"/>
      <c r="J89" s="57"/>
      <c r="K89" s="57"/>
      <c r="L89" s="58"/>
      <c r="M89" s="54">
        <f t="shared" si="8"/>
        <v>6</v>
      </c>
      <c r="N89" s="61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55"/>
      <c r="B90" s="56" t="str">
        <f>IF(Rosters!F52="*",Rosters!G52,IF(Rosters!F51="*",Rosters!G51,IF(Rosters!F50="*",Rosters!G50,IF(Rosters!F49="*",Rosters!G49,""))))</f>
        <v>Jaylen Waddle (Mia)</v>
      </c>
      <c r="C90" s="57">
        <v>0.0</v>
      </c>
      <c r="D90" s="57"/>
      <c r="E90" s="57"/>
      <c r="F90" s="57"/>
      <c r="G90" s="57"/>
      <c r="H90" s="57"/>
      <c r="I90" s="57"/>
      <c r="J90" s="57"/>
      <c r="K90" s="57"/>
      <c r="L90" s="58"/>
      <c r="M90" s="54">
        <f t="shared" si="8"/>
        <v>0</v>
      </c>
      <c r="N90" s="61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55"/>
      <c r="B91" s="56" t="str">
        <f>IF(Rosters!F54="*",Rosters!G54,IF(Rosters!F55="*",Rosters!G55,IF(Rosters!F56="*",Rosters!G56,"")))</f>
        <v>Trey McBride (Arz)</v>
      </c>
      <c r="C91" s="57">
        <v>0.0</v>
      </c>
      <c r="D91" s="57"/>
      <c r="E91" s="57">
        <v>82.0</v>
      </c>
      <c r="F91" s="57">
        <v>1.0</v>
      </c>
      <c r="G91" s="57"/>
      <c r="H91" s="57"/>
      <c r="I91" s="57"/>
      <c r="J91" s="57"/>
      <c r="K91" s="57"/>
      <c r="L91" s="60"/>
      <c r="M91" s="62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>9</v>
      </c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63"/>
      <c r="B92" s="64"/>
      <c r="C92" s="65" t="s">
        <v>303</v>
      </c>
      <c r="D92" s="65" t="s">
        <v>304</v>
      </c>
      <c r="E92" s="65" t="s">
        <v>305</v>
      </c>
      <c r="F92" s="66" t="s">
        <v>306</v>
      </c>
      <c r="G92" s="65" t="s">
        <v>307</v>
      </c>
      <c r="H92" s="65" t="s">
        <v>308</v>
      </c>
      <c r="I92" s="65" t="s">
        <v>309</v>
      </c>
      <c r="J92" s="65" t="s">
        <v>310</v>
      </c>
      <c r="K92" s="65" t="s">
        <v>311</v>
      </c>
      <c r="L92" s="60" t="s">
        <v>312</v>
      </c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55"/>
      <c r="B93" s="56" t="str">
        <f>IF(Rosters!F58="*",Rosters!G58,IF(Rosters!F59="*",Rosters!G59,""))</f>
        <v>Daniel Carlson (LV)</v>
      </c>
      <c r="C93" s="57">
        <v>0.0</v>
      </c>
      <c r="D93" s="57"/>
      <c r="E93" s="57"/>
      <c r="F93" s="57"/>
      <c r="G93" s="57"/>
      <c r="H93" s="57"/>
      <c r="I93" s="57"/>
      <c r="J93" s="57">
        <v>2.0</v>
      </c>
      <c r="K93" s="57"/>
      <c r="L93" s="57"/>
      <c r="M93" s="62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>2</v>
      </c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63"/>
      <c r="B94" s="64"/>
      <c r="C94" s="65" t="s">
        <v>313</v>
      </c>
      <c r="D94" s="65" t="s">
        <v>314</v>
      </c>
      <c r="E94" s="65" t="s">
        <v>297</v>
      </c>
      <c r="F94" s="65" t="s">
        <v>315</v>
      </c>
      <c r="G94" s="65" t="s">
        <v>295</v>
      </c>
      <c r="H94" s="66" t="s">
        <v>316</v>
      </c>
      <c r="I94" s="65" t="s">
        <v>317</v>
      </c>
      <c r="J94" s="65" t="s">
        <v>318</v>
      </c>
      <c r="K94" s="65"/>
      <c r="L94" s="60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55"/>
      <c r="B95" s="56" t="str">
        <f>IF(Rosters!F62="*",Rosters!G62,IF(Rosters!F61="*",Rosters!G61,""))</f>
        <v>Minnesota</v>
      </c>
      <c r="C95" s="57">
        <v>26.0</v>
      </c>
      <c r="D95" s="57">
        <v>4.0</v>
      </c>
      <c r="E95" s="57"/>
      <c r="F95" s="57">
        <v>2.0</v>
      </c>
      <c r="G95" s="57"/>
      <c r="H95" s="57"/>
      <c r="I95" s="57"/>
      <c r="J95" s="57"/>
      <c r="K95" s="66"/>
      <c r="L95" s="60"/>
      <c r="M95" s="62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>8</v>
      </c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63"/>
      <c r="B96" s="64"/>
      <c r="C96" s="66"/>
      <c r="D96" s="65"/>
      <c r="E96" s="65"/>
      <c r="F96" s="65"/>
      <c r="G96" s="65"/>
      <c r="H96" s="65"/>
      <c r="I96" s="65"/>
      <c r="J96" s="65"/>
      <c r="K96" s="65"/>
      <c r="L96" s="60"/>
      <c r="M96" s="62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67"/>
      <c r="B97" s="68" t="str">
        <f>IF(Rosters!F64="*",Rosters!G64,IF(Rosters!F65="*",Rosters!G65,""))</f>
        <v/>
      </c>
      <c r="C97" s="69">
        <v>0.0</v>
      </c>
      <c r="D97" s="70"/>
      <c r="E97" s="70"/>
      <c r="F97" s="70"/>
      <c r="G97" s="70"/>
      <c r="H97" s="70"/>
      <c r="I97" s="70"/>
      <c r="J97" s="70"/>
      <c r="K97" s="70"/>
      <c r="L97" s="71"/>
      <c r="M97" s="72">
        <f>C97</f>
        <v>0</v>
      </c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50" t="s">
        <v>326</v>
      </c>
      <c r="B98" s="56" t="str">
        <f>IF(Rosters!I40="*",Rosters!J40,IF(Rosters!I41="*",Rosters!J41,IF(Rosters!I42="*",Rosters!J42,"")))</f>
        <v>Joe Burrow (Cin)</v>
      </c>
      <c r="C98" s="52">
        <v>261.0</v>
      </c>
      <c r="D98" s="52"/>
      <c r="E98" s="52"/>
      <c r="F98" s="52">
        <v>2.0</v>
      </c>
      <c r="G98" s="52"/>
      <c r="H98" s="52"/>
      <c r="I98" s="52"/>
      <c r="J98" s="52"/>
      <c r="K98" s="52"/>
      <c r="L98" s="53"/>
      <c r="M98" s="54">
        <f t="shared" ref="M98:M102" si="9"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>15</v>
      </c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55"/>
      <c r="B99" s="56" t="str">
        <f>IF(Rosters!I44="*",Rosters!J44,IF(Rosters!I45="*",Rosters!J45,IF(Rosters!I46="*",Rosters!J46,IF(Rosters!I47="*",Rosters!J47,""))))</f>
        <v>Bijan Robinson (Atl)</v>
      </c>
      <c r="C99" s="57">
        <v>0.0</v>
      </c>
      <c r="D99" s="57">
        <v>142.0</v>
      </c>
      <c r="E99" s="57">
        <v>51.0</v>
      </c>
      <c r="F99" s="57">
        <v>1.0</v>
      </c>
      <c r="G99" s="57"/>
      <c r="H99" s="57"/>
      <c r="I99" s="57"/>
      <c r="J99" s="57"/>
      <c r="K99" s="57"/>
      <c r="L99" s="58"/>
      <c r="M99" s="54">
        <f t="shared" si="9"/>
        <v>11</v>
      </c>
      <c r="N99" s="61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55"/>
      <c r="B100" s="56" t="str">
        <f>IF(Rosters!I47="*",Rosters!J47,IF(Rosters!I46="*",Rosters!J46,IF(Rosters!I45="*",Rosters!J45,IF(Rosters!I44="*",Rosters!J44,""))))</f>
        <v>James Cook (Buf)</v>
      </c>
      <c r="C100" s="57">
        <v>0.0</v>
      </c>
      <c r="D100" s="57">
        <v>144.0</v>
      </c>
      <c r="E100" s="57">
        <v>33.0</v>
      </c>
      <c r="F100" s="57"/>
      <c r="G100" s="57"/>
      <c r="H100" s="57"/>
      <c r="I100" s="57"/>
      <c r="J100" s="57">
        <v>1.0</v>
      </c>
      <c r="K100" s="57"/>
      <c r="L100" s="60"/>
      <c r="M100" s="54">
        <f t="shared" si="9"/>
        <v>4</v>
      </c>
      <c r="N100" s="61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55"/>
      <c r="B101" s="56" t="str">
        <f>IF(Rosters!I49="*",Rosters!J49,IF(Rosters!I50="*",Rosters!J50,IF(Rosters!I51="*",Rosters!J51,IF(Rosters!I52="*",Rosters!J52,""))))</f>
        <v>Brian Thomas Jr. (Jax)</v>
      </c>
      <c r="C101" s="57">
        <v>0.0</v>
      </c>
      <c r="D101" s="57"/>
      <c r="E101" s="57"/>
      <c r="F101" s="57"/>
      <c r="G101" s="57"/>
      <c r="H101" s="57"/>
      <c r="I101" s="57"/>
      <c r="J101" s="57"/>
      <c r="K101" s="57"/>
      <c r="L101" s="58"/>
      <c r="M101" s="54">
        <f t="shared" si="9"/>
        <v>0</v>
      </c>
      <c r="N101" s="61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55"/>
      <c r="B102" s="56" t="str">
        <f>IF(Rosters!I52="*",Rosters!J52,IF(Rosters!I51="*",Rosters!J51,IF(Rosters!I50="*",Rosters!J50,IF(Rosters!I49="*",Rosters!J49,""))))</f>
        <v>A.J. Brown (PHI)</v>
      </c>
      <c r="C102" s="57">
        <v>0.0</v>
      </c>
      <c r="D102" s="57"/>
      <c r="E102" s="57">
        <v>132.0</v>
      </c>
      <c r="F102" s="57">
        <v>2.0</v>
      </c>
      <c r="G102" s="57"/>
      <c r="H102" s="57"/>
      <c r="I102" s="57"/>
      <c r="J102" s="57"/>
      <c r="K102" s="57"/>
      <c r="L102" s="58"/>
      <c r="M102" s="54">
        <f t="shared" si="9"/>
        <v>16</v>
      </c>
      <c r="N102" s="61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55"/>
      <c r="B103" s="56" t="str">
        <f>IF(Rosters!I54="*",Rosters!J54,IF(Rosters!I55="*",Rosters!J55,IF(Rosters!I56="*",Rosters!J56,"")))</f>
        <v>Brock Bowers (LV)</v>
      </c>
      <c r="C103" s="57">
        <v>0.0</v>
      </c>
      <c r="D103" s="57"/>
      <c r="E103" s="57">
        <v>63.0</v>
      </c>
      <c r="F103" s="57">
        <v>2.0</v>
      </c>
      <c r="G103" s="57"/>
      <c r="H103" s="57"/>
      <c r="I103" s="57"/>
      <c r="J103" s="57"/>
      <c r="K103" s="57"/>
      <c r="L103" s="60"/>
      <c r="M103" s="62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>14</v>
      </c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63"/>
      <c r="B104" s="64"/>
      <c r="C104" s="65" t="s">
        <v>303</v>
      </c>
      <c r="D104" s="65" t="s">
        <v>304</v>
      </c>
      <c r="E104" s="65" t="s">
        <v>305</v>
      </c>
      <c r="F104" s="66" t="s">
        <v>306</v>
      </c>
      <c r="G104" s="65" t="s">
        <v>307</v>
      </c>
      <c r="H104" s="65" t="s">
        <v>308</v>
      </c>
      <c r="I104" s="65" t="s">
        <v>309</v>
      </c>
      <c r="J104" s="65" t="s">
        <v>310</v>
      </c>
      <c r="K104" s="65" t="s">
        <v>311</v>
      </c>
      <c r="L104" s="60" t="s">
        <v>312</v>
      </c>
      <c r="M104" s="62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55"/>
      <c r="B105" s="56" t="str">
        <f>IF(Rosters!I58="*",Rosters!J58,IF(Rosters!I59="*",Rosters!J59,""))</f>
        <v>Jake Bates (Det)</v>
      </c>
      <c r="C105" s="57">
        <v>35.0</v>
      </c>
      <c r="D105" s="57"/>
      <c r="E105" s="57"/>
      <c r="F105" s="57"/>
      <c r="G105" s="57"/>
      <c r="H105" s="57"/>
      <c r="I105" s="57"/>
      <c r="J105" s="57">
        <v>3.0</v>
      </c>
      <c r="K105" s="57"/>
      <c r="L105" s="57"/>
      <c r="M105" s="62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>5</v>
      </c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63"/>
      <c r="B106" s="64"/>
      <c r="C106" s="65" t="s">
        <v>313</v>
      </c>
      <c r="D106" s="65" t="s">
        <v>314</v>
      </c>
      <c r="E106" s="65" t="s">
        <v>297</v>
      </c>
      <c r="F106" s="65" t="s">
        <v>315</v>
      </c>
      <c r="G106" s="65" t="s">
        <v>295</v>
      </c>
      <c r="H106" s="66" t="s">
        <v>316</v>
      </c>
      <c r="I106" s="65" t="s">
        <v>317</v>
      </c>
      <c r="J106" s="65" t="s">
        <v>318</v>
      </c>
      <c r="K106" s="65"/>
      <c r="L106" s="60"/>
      <c r="M106" s="62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55"/>
      <c r="B107" s="56" t="str">
        <f>IF(Rosters!I62="*",Rosters!J62,IF(Rosters!I61="*",Rosters!J61,""))</f>
        <v>Indianapolis</v>
      </c>
      <c r="C107" s="57">
        <v>20.0</v>
      </c>
      <c r="D107" s="57">
        <v>2.0</v>
      </c>
      <c r="E107" s="57">
        <v>1.0</v>
      </c>
      <c r="F107" s="57"/>
      <c r="G107" s="57"/>
      <c r="H107" s="57"/>
      <c r="I107" s="57"/>
      <c r="J107" s="57"/>
      <c r="K107" s="66"/>
      <c r="L107" s="60"/>
      <c r="M107" s="62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>4</v>
      </c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63"/>
      <c r="B108" s="64"/>
      <c r="C108" s="66"/>
      <c r="D108" s="65"/>
      <c r="E108" s="65"/>
      <c r="F108" s="65"/>
      <c r="G108" s="65"/>
      <c r="H108" s="65"/>
      <c r="I108" s="65"/>
      <c r="J108" s="65"/>
      <c r="K108" s="65"/>
      <c r="L108" s="60"/>
      <c r="M108" s="62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67"/>
      <c r="B109" s="68" t="str">
        <f>IF(Rosters!I64="*",Rosters!J64,IF(Rosters!I65="*",Rosters!J65,""))</f>
        <v>Liam Coen (Jax)</v>
      </c>
      <c r="C109" s="69">
        <v>5.0</v>
      </c>
      <c r="D109" s="70"/>
      <c r="E109" s="70"/>
      <c r="F109" s="70"/>
      <c r="G109" s="70"/>
      <c r="H109" s="70"/>
      <c r="I109" s="70"/>
      <c r="J109" s="70"/>
      <c r="K109" s="70"/>
      <c r="L109" s="71"/>
      <c r="M109" s="72">
        <f>C109</f>
        <v>5</v>
      </c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50" t="s">
        <v>327</v>
      </c>
      <c r="B110" s="56" t="str">
        <f>IF(Rosters!L40="*",Rosters!M40,IF(Rosters!L41="*",Rosters!M41,IF(Rosters!L42="*",Rosters!M42,"")))</f>
        <v>Lamar Jackson (Bal)</v>
      </c>
      <c r="C110" s="52">
        <v>0.0</v>
      </c>
      <c r="D110" s="52"/>
      <c r="E110" s="52"/>
      <c r="F110" s="52"/>
      <c r="G110" s="52"/>
      <c r="H110" s="52"/>
      <c r="I110" s="52"/>
      <c r="J110" s="52"/>
      <c r="K110" s="52"/>
      <c r="L110" s="53"/>
      <c r="M110" s="54">
        <f t="shared" ref="M110:M114" si="10"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>0</v>
      </c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55"/>
      <c r="B111" s="56" t="str">
        <f>IF(Rosters!L44="*",Rosters!M44,IF(Rosters!L45="*",Rosters!M45,IF(Rosters!L46="*",Rosters!M46,IF(Rosters!L47="*",Rosters!M47,""))))</f>
        <v>Jonathan Taylor (Ind)</v>
      </c>
      <c r="C111" s="57">
        <v>0.0</v>
      </c>
      <c r="D111" s="57">
        <v>85.0</v>
      </c>
      <c r="E111" s="57">
        <v>36.0</v>
      </c>
      <c r="F111" s="57"/>
      <c r="G111" s="57"/>
      <c r="H111" s="57"/>
      <c r="I111" s="57"/>
      <c r="J111" s="57"/>
      <c r="K111" s="57"/>
      <c r="L111" s="58"/>
      <c r="M111" s="54">
        <f t="shared" si="10"/>
        <v>2</v>
      </c>
      <c r="N111" s="61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55"/>
      <c r="B112" s="56" t="str">
        <f>IF(Rosters!L47="*",Rosters!M47,IF(Rosters!L46="*",Rosters!M46,IF(Rosters!L45="*",Rosters!M45,IF(Rosters!L44="*",Rosters!M44,""))))</f>
        <v>Derrick Henry (Bal)</v>
      </c>
      <c r="C112" s="57">
        <v>0.0</v>
      </c>
      <c r="D112" s="57">
        <v>60.0</v>
      </c>
      <c r="E112" s="57">
        <v>44.0</v>
      </c>
      <c r="F112" s="57">
        <v>1.0</v>
      </c>
      <c r="G112" s="57"/>
      <c r="H112" s="57"/>
      <c r="I112" s="57"/>
      <c r="J112" s="57"/>
      <c r="K112" s="57"/>
      <c r="L112" s="60"/>
      <c r="M112" s="54">
        <f t="shared" si="10"/>
        <v>8</v>
      </c>
      <c r="N112" s="61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55"/>
      <c r="B113" s="56" t="str">
        <f>IF(Rosters!L49="*",Rosters!M49,IF(Rosters!L50="*",Rosters!M50,IF(Rosters!L51="*",Rosters!M51,IF(Rosters!L52="*",Rosters!M52,""))))</f>
        <v>DeVonta Smith (Phi)</v>
      </c>
      <c r="C113" s="57">
        <v>0.0</v>
      </c>
      <c r="D113" s="57"/>
      <c r="E113" s="57"/>
      <c r="F113" s="57"/>
      <c r="G113" s="57"/>
      <c r="H113" s="57"/>
      <c r="I113" s="57"/>
      <c r="J113" s="57"/>
      <c r="K113" s="57"/>
      <c r="L113" s="58"/>
      <c r="M113" s="54">
        <f t="shared" si="10"/>
        <v>0</v>
      </c>
      <c r="N113" s="61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55"/>
      <c r="B114" s="56" t="str">
        <f>IF(Rosters!L52="*",Rosters!M52,IF(Rosters!L51="*",Rosters!M51,IF(Rosters!L50="*",Rosters!M50,IF(Rosters!L49="*",Rosters!M49,""))))</f>
        <v>George Pickens (Dal)</v>
      </c>
      <c r="C114" s="57">
        <v>0.0</v>
      </c>
      <c r="D114" s="57"/>
      <c r="E114" s="57">
        <v>88.0</v>
      </c>
      <c r="F114" s="57"/>
      <c r="G114" s="57">
        <v>1.0</v>
      </c>
      <c r="H114" s="57"/>
      <c r="I114" s="57"/>
      <c r="J114" s="57"/>
      <c r="K114" s="57"/>
      <c r="L114" s="58"/>
      <c r="M114" s="54">
        <f t="shared" si="10"/>
        <v>4</v>
      </c>
      <c r="N114" s="61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55"/>
      <c r="B115" s="56" t="str">
        <f>IF(Rosters!L54="*",Rosters!M54,IF(Rosters!L55="*",Rosters!M55,IF(Rosters!L56="*",Rosters!M56,"")))</f>
        <v>George Kittle (SF)</v>
      </c>
      <c r="C115" s="57">
        <v>0.0</v>
      </c>
      <c r="D115" s="57"/>
      <c r="E115" s="57">
        <v>67.0</v>
      </c>
      <c r="F115" s="57"/>
      <c r="G115" s="57"/>
      <c r="H115" s="57"/>
      <c r="I115" s="57"/>
      <c r="J115" s="57"/>
      <c r="K115" s="57"/>
      <c r="L115" s="60"/>
      <c r="M115" s="62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>2</v>
      </c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63"/>
      <c r="B116" s="64"/>
      <c r="C116" s="65" t="s">
        <v>303</v>
      </c>
      <c r="D116" s="65" t="s">
        <v>304</v>
      </c>
      <c r="E116" s="65" t="s">
        <v>305</v>
      </c>
      <c r="F116" s="66" t="s">
        <v>306</v>
      </c>
      <c r="G116" s="65" t="s">
        <v>307</v>
      </c>
      <c r="H116" s="65" t="s">
        <v>308</v>
      </c>
      <c r="I116" s="65" t="s">
        <v>309</v>
      </c>
      <c r="J116" s="65" t="s">
        <v>310</v>
      </c>
      <c r="K116" s="65" t="s">
        <v>311</v>
      </c>
      <c r="L116" s="60" t="s">
        <v>312</v>
      </c>
      <c r="M116" s="62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55"/>
      <c r="B117" s="56" t="str">
        <f>IF(Rosters!L58="*",Rosters!M58,IF(Rosters!L59="*",Rosters!M59,""))</f>
        <v>Cam Little (Jax)</v>
      </c>
      <c r="C117" s="57">
        <v>45.0</v>
      </c>
      <c r="D117" s="57"/>
      <c r="E117" s="57"/>
      <c r="F117" s="57"/>
      <c r="G117" s="57"/>
      <c r="H117" s="57"/>
      <c r="I117" s="57"/>
      <c r="J117" s="57">
        <v>2.0</v>
      </c>
      <c r="K117" s="57"/>
      <c r="L117" s="57"/>
      <c r="M117" s="62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>5</v>
      </c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63"/>
      <c r="B118" s="64"/>
      <c r="C118" s="65" t="s">
        <v>313</v>
      </c>
      <c r="D118" s="65" t="s">
        <v>314</v>
      </c>
      <c r="E118" s="65" t="s">
        <v>297</v>
      </c>
      <c r="F118" s="65" t="s">
        <v>315</v>
      </c>
      <c r="G118" s="65" t="s">
        <v>295</v>
      </c>
      <c r="H118" s="66" t="s">
        <v>316</v>
      </c>
      <c r="I118" s="65" t="s">
        <v>317</v>
      </c>
      <c r="J118" s="65" t="s">
        <v>318</v>
      </c>
      <c r="K118" s="65"/>
      <c r="L118" s="60"/>
      <c r="M118" s="62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55"/>
      <c r="B119" s="56" t="str">
        <f>IF(Rosters!L62="*",Rosters!M62,IF(Rosters!L61="*",Rosters!M61,""))</f>
        <v>LA Chargers</v>
      </c>
      <c r="C119" s="57">
        <v>14.0</v>
      </c>
      <c r="D119" s="57">
        <v>5.0</v>
      </c>
      <c r="E119" s="57">
        <v>1.0</v>
      </c>
      <c r="F119" s="57"/>
      <c r="G119" s="57"/>
      <c r="H119" s="57"/>
      <c r="I119" s="57"/>
      <c r="J119" s="57"/>
      <c r="K119" s="66"/>
      <c r="L119" s="60"/>
      <c r="M119" s="62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>9</v>
      </c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63"/>
      <c r="B120" s="64"/>
      <c r="C120" s="66"/>
      <c r="D120" s="65"/>
      <c r="E120" s="65"/>
      <c r="F120" s="65"/>
      <c r="G120" s="65"/>
      <c r="H120" s="65"/>
      <c r="I120" s="65"/>
      <c r="J120" s="65"/>
      <c r="K120" s="65"/>
      <c r="L120" s="60"/>
      <c r="M120" s="62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67"/>
      <c r="B121" s="68" t="str">
        <f>IF(Rosters!L64="*",Rosters!M64,IF(Rosters!L65="*",Rosters!M65,""))</f>
        <v>Raheem Morris (Atl)</v>
      </c>
      <c r="C121" s="69">
        <v>0.0</v>
      </c>
      <c r="D121" s="70"/>
      <c r="E121" s="70"/>
      <c r="F121" s="70"/>
      <c r="G121" s="70"/>
      <c r="H121" s="70"/>
      <c r="I121" s="70"/>
      <c r="J121" s="70"/>
      <c r="K121" s="70"/>
      <c r="L121" s="71"/>
      <c r="M121" s="72">
        <f>C121</f>
        <v>0</v>
      </c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50" t="s">
        <v>328</v>
      </c>
      <c r="B122" s="56" t="str">
        <f>IF(Rosters!O40="*",Rosters!P40,IF(Rosters!O41="*",Rosters!P41,IF(Rosters!O42="*",Rosters!P42,"")))</f>
        <v>Patrick Mahomes (KC)</v>
      </c>
      <c r="C122" s="52">
        <v>261.0</v>
      </c>
      <c r="D122" s="52"/>
      <c r="E122" s="52"/>
      <c r="F122" s="52">
        <v>4.0</v>
      </c>
      <c r="G122" s="52"/>
      <c r="H122" s="52"/>
      <c r="I122" s="52"/>
      <c r="J122" s="52"/>
      <c r="K122" s="52"/>
      <c r="L122" s="53"/>
      <c r="M122" s="54">
        <f t="shared" ref="M122:M126" si="11"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>27</v>
      </c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55"/>
      <c r="B123" s="56" t="str">
        <f>IF(Rosters!O44="*",Rosters!P44,IF(Rosters!O45="*",Rosters!P45,IF(Rosters!O46="*",Rosters!P46,IF(Rosters!O47="*",Rosters!P47,""))))</f>
        <v>Chase Brown (Cin)</v>
      </c>
      <c r="C123" s="57">
        <v>0.0</v>
      </c>
      <c r="D123" s="57">
        <v>78.0</v>
      </c>
      <c r="E123" s="57">
        <v>35.0</v>
      </c>
      <c r="F123" s="57"/>
      <c r="G123" s="57"/>
      <c r="H123" s="57"/>
      <c r="I123" s="57"/>
      <c r="J123" s="57"/>
      <c r="K123" s="57"/>
      <c r="L123" s="58"/>
      <c r="M123" s="54">
        <f t="shared" si="11"/>
        <v>2</v>
      </c>
      <c r="N123" s="61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55"/>
      <c r="B124" s="56" t="str">
        <f>IF(Rosters!O47="*",Rosters!P47,IF(Rosters!O46="*",Rosters!P46,IF(Rosters!O45="*",Rosters!P45,IF(Rosters!O44="*",Rosters!P44,""))))</f>
        <v>Tony Pollard (TEN)</v>
      </c>
      <c r="C124" s="57">
        <v>0.0</v>
      </c>
      <c r="D124" s="57"/>
      <c r="E124" s="57"/>
      <c r="F124" s="57"/>
      <c r="G124" s="57"/>
      <c r="H124" s="57"/>
      <c r="I124" s="57"/>
      <c r="J124" s="57"/>
      <c r="K124" s="57"/>
      <c r="L124" s="60"/>
      <c r="M124" s="54">
        <f t="shared" si="11"/>
        <v>0</v>
      </c>
      <c r="N124" s="61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55"/>
      <c r="B125" s="56" t="str">
        <f>IF(Rosters!O49="*",Rosters!P49,IF(Rosters!O50="*",Rosters!P50,IF(Rosters!O51="*",Rosters!P51,IF(Rosters!O52="*",Rosters!P52,""))))</f>
        <v>CeeDee Lamb (Dal)</v>
      </c>
      <c r="C125" s="57">
        <v>0.0</v>
      </c>
      <c r="D125" s="57"/>
      <c r="E125" s="57">
        <v>112.0</v>
      </c>
      <c r="F125" s="57">
        <v>1.0</v>
      </c>
      <c r="G125" s="57"/>
      <c r="H125" s="57"/>
      <c r="I125" s="57"/>
      <c r="J125" s="57"/>
      <c r="K125" s="57"/>
      <c r="L125" s="58"/>
      <c r="M125" s="54">
        <f t="shared" si="11"/>
        <v>9</v>
      </c>
      <c r="N125" s="61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55"/>
      <c r="B126" s="56" t="str">
        <f>IF(Rosters!O52="*",Rosters!P52,IF(Rosters!O51="*",Rosters!P51,IF(Rosters!O50="*",Rosters!P50,IF(Rosters!O49="*",Rosters!P49,""))))</f>
        <v>Rome Odunze (Chi)</v>
      </c>
      <c r="C126" s="57">
        <v>0.0</v>
      </c>
      <c r="D126" s="57"/>
      <c r="E126" s="57"/>
      <c r="F126" s="57"/>
      <c r="G126" s="57"/>
      <c r="H126" s="57"/>
      <c r="I126" s="57"/>
      <c r="J126" s="57"/>
      <c r="K126" s="57"/>
      <c r="L126" s="58"/>
      <c r="M126" s="54">
        <f t="shared" si="11"/>
        <v>0</v>
      </c>
      <c r="N126" s="61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55"/>
      <c r="B127" s="56" t="str">
        <f>IF(Rosters!O54="*",Rosters!P54,IF(Rosters!O55="*",Rosters!P55,IF(Rosters!O56="*",Rosters!P56,"")))</f>
        <v>Mark Andrews (Bal)</v>
      </c>
      <c r="C127" s="57">
        <v>0.0</v>
      </c>
      <c r="D127" s="57"/>
      <c r="E127" s="57"/>
      <c r="F127" s="57"/>
      <c r="G127" s="57"/>
      <c r="H127" s="57"/>
      <c r="I127" s="57"/>
      <c r="J127" s="57"/>
      <c r="K127" s="57"/>
      <c r="L127" s="60"/>
      <c r="M127" s="62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>0</v>
      </c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63"/>
      <c r="B128" s="64"/>
      <c r="C128" s="65" t="s">
        <v>303</v>
      </c>
      <c r="D128" s="65" t="s">
        <v>304</v>
      </c>
      <c r="E128" s="65" t="s">
        <v>305</v>
      </c>
      <c r="F128" s="66" t="s">
        <v>306</v>
      </c>
      <c r="G128" s="65" t="s">
        <v>307</v>
      </c>
      <c r="H128" s="65" t="s">
        <v>308</v>
      </c>
      <c r="I128" s="65" t="s">
        <v>309</v>
      </c>
      <c r="J128" s="65" t="s">
        <v>310</v>
      </c>
      <c r="K128" s="65" t="s">
        <v>311</v>
      </c>
      <c r="L128" s="60" t="s">
        <v>312</v>
      </c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55"/>
      <c r="B129" s="56" t="str">
        <f>IF(Rosters!O58="*",Rosters!P58,IF(Rosters!O59="*",Rosters!P59,""))</f>
        <v>Ka'imi Fairbairn (Hou)</v>
      </c>
      <c r="C129" s="57">
        <v>25.0</v>
      </c>
      <c r="D129" s="57">
        <v>45.0</v>
      </c>
      <c r="E129" s="57"/>
      <c r="F129" s="57"/>
      <c r="G129" s="57"/>
      <c r="H129" s="57"/>
      <c r="I129" s="57"/>
      <c r="J129" s="57">
        <v>2.0</v>
      </c>
      <c r="K129" s="57"/>
      <c r="L129" s="57"/>
      <c r="M129" s="62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>6</v>
      </c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63"/>
      <c r="B130" s="64"/>
      <c r="C130" s="65" t="s">
        <v>313</v>
      </c>
      <c r="D130" s="65" t="s">
        <v>314</v>
      </c>
      <c r="E130" s="65" t="s">
        <v>297</v>
      </c>
      <c r="F130" s="65" t="s">
        <v>315</v>
      </c>
      <c r="G130" s="65" t="s">
        <v>295</v>
      </c>
      <c r="H130" s="66" t="s">
        <v>316</v>
      </c>
      <c r="I130" s="65" t="s">
        <v>317</v>
      </c>
      <c r="J130" s="65" t="s">
        <v>318</v>
      </c>
      <c r="K130" s="65"/>
      <c r="L130" s="60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55"/>
      <c r="B131" s="56" t="str">
        <f>IF(Rosters!O62="*",Rosters!P62,IF(Rosters!O61="*",Rosters!P61,""))</f>
        <v>Cleveland</v>
      </c>
      <c r="C131" s="57">
        <v>26.0</v>
      </c>
      <c r="D131" s="57">
        <v>1.0</v>
      </c>
      <c r="E131" s="57"/>
      <c r="F131" s="57"/>
      <c r="G131" s="57"/>
      <c r="H131" s="57"/>
      <c r="I131" s="57"/>
      <c r="J131" s="57"/>
      <c r="K131" s="66"/>
      <c r="L131" s="60"/>
      <c r="M131" s="62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>1</v>
      </c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63"/>
      <c r="B132" s="64"/>
      <c r="C132" s="66"/>
      <c r="D132" s="65"/>
      <c r="E132" s="65"/>
      <c r="F132" s="65"/>
      <c r="G132" s="65"/>
      <c r="H132" s="65"/>
      <c r="I132" s="65"/>
      <c r="J132" s="65"/>
      <c r="K132" s="65"/>
      <c r="L132" s="60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67"/>
      <c r="B133" s="68" t="str">
        <f>IF(Rosters!O64="*",Rosters!P64,IF(Rosters!O65="*",Rosters!P65,""))</f>
        <v>Zac Taylor (Cin)</v>
      </c>
      <c r="C133" s="69">
        <v>7.0</v>
      </c>
      <c r="D133" s="70"/>
      <c r="E133" s="70"/>
      <c r="F133" s="70"/>
      <c r="G133" s="70"/>
      <c r="H133" s="70"/>
      <c r="I133" s="70"/>
      <c r="J133" s="70"/>
      <c r="K133" s="70"/>
      <c r="L133" s="71"/>
      <c r="M133" s="72">
        <f>C133</f>
        <v>7</v>
      </c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73" t="s">
        <v>329</v>
      </c>
      <c r="B134" s="56" t="str">
        <f>IF(Rosters!R40="*",Rosters!S40,IF(Rosters!R41="*",Rosters!S41,IF(Rosters!R42="*",Rosters!S42,"")))</f>
        <v>Jared Goff (Det)</v>
      </c>
      <c r="C134" s="52">
        <v>256.0</v>
      </c>
      <c r="D134" s="52"/>
      <c r="E134" s="52"/>
      <c r="F134" s="52">
        <v>2.0</v>
      </c>
      <c r="G134" s="52"/>
      <c r="H134" s="52"/>
      <c r="I134" s="52"/>
      <c r="J134" s="52"/>
      <c r="K134" s="52"/>
      <c r="L134" s="53"/>
      <c r="M134" s="54">
        <f t="shared" ref="M134:M138" si="12"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>15</v>
      </c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55"/>
      <c r="B135" s="56" t="str">
        <f>IF(Rosters!R44="*",Rosters!S44,IF(Rosters!R45="*",Rosters!S45,IF(Rosters!R46="*",Rosters!S46,IF(Rosters!R47="*",Rosters!S47,""))))</f>
        <v>Saquon Barkley (Phi)</v>
      </c>
      <c r="C135" s="57">
        <v>0.0</v>
      </c>
      <c r="D135" s="57"/>
      <c r="E135" s="57"/>
      <c r="F135" s="57"/>
      <c r="G135" s="57"/>
      <c r="H135" s="57"/>
      <c r="I135" s="57"/>
      <c r="J135" s="57"/>
      <c r="K135" s="57"/>
      <c r="L135" s="58"/>
      <c r="M135" s="54">
        <f t="shared" si="12"/>
        <v>0</v>
      </c>
      <c r="N135" s="61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55"/>
      <c r="B136" s="56" t="str">
        <f>IF(Rosters!R47="*",Rosters!S47,IF(Rosters!R46="*",Rosters!S46,IF(Rosters!R45="*",Rosters!S45,IF(Rosters!R44="*",Rosters!S44,""))))</f>
        <v>Ashton Jeanty (LV)</v>
      </c>
      <c r="C136" s="57">
        <v>0.0</v>
      </c>
      <c r="D136" s="57"/>
      <c r="E136" s="57"/>
      <c r="F136" s="57"/>
      <c r="G136" s="57"/>
      <c r="H136" s="57"/>
      <c r="I136" s="57"/>
      <c r="J136" s="57"/>
      <c r="K136" s="57"/>
      <c r="L136" s="60"/>
      <c r="M136" s="54">
        <f t="shared" si="12"/>
        <v>0</v>
      </c>
      <c r="N136" s="61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55"/>
      <c r="B137" s="56" t="str">
        <f>IF(Rosters!R49="*",Rosters!S49,IF(Rosters!R50="*",Rosters!S50,IF(Rosters!R51="*",Rosters!S51,IF(Rosters!R52="*",Rosters!S52,""))))</f>
        <v>Xavier Worthy (KC)</v>
      </c>
      <c r="C137" s="57">
        <v>0.0</v>
      </c>
      <c r="D137" s="57"/>
      <c r="E137" s="57"/>
      <c r="F137" s="57"/>
      <c r="G137" s="57"/>
      <c r="H137" s="57"/>
      <c r="I137" s="57"/>
      <c r="J137" s="57"/>
      <c r="K137" s="57"/>
      <c r="L137" s="58"/>
      <c r="M137" s="54">
        <f t="shared" si="12"/>
        <v>0</v>
      </c>
      <c r="N137" s="61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55"/>
      <c r="B138" s="56" t="str">
        <f>IF(Rosters!R52="*",Rosters!S52,IF(Rosters!R51="*",Rosters!S51,IF(Rosters!R50="*",Rosters!S50,IF(Rosters!R49="*",Rosters!S49,""))))</f>
        <v>Chris Olave (NO)</v>
      </c>
      <c r="C138" s="57">
        <v>0.0</v>
      </c>
      <c r="D138" s="57"/>
      <c r="E138" s="57"/>
      <c r="F138" s="57">
        <v>1.0</v>
      </c>
      <c r="G138" s="57"/>
      <c r="H138" s="57"/>
      <c r="I138" s="57"/>
      <c r="J138" s="57"/>
      <c r="K138" s="57"/>
      <c r="L138" s="58"/>
      <c r="M138" s="54">
        <f t="shared" si="12"/>
        <v>6</v>
      </c>
      <c r="N138" s="61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55"/>
      <c r="B139" s="56" t="str">
        <f>IF(Rosters!R54="*",Rosters!S54,IF(Rosters!R55="*",Rosters!S55,IF(Rosters!R56="*",Rosters!S56,"")))</f>
        <v>AJ Barner (Sea)</v>
      </c>
      <c r="C139" s="57">
        <v>0.0</v>
      </c>
      <c r="D139" s="57"/>
      <c r="E139" s="57"/>
      <c r="F139" s="57"/>
      <c r="G139" s="57"/>
      <c r="H139" s="57"/>
      <c r="I139" s="57"/>
      <c r="J139" s="57"/>
      <c r="K139" s="57"/>
      <c r="L139" s="60"/>
      <c r="M139" s="62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>0</v>
      </c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63"/>
      <c r="B140" s="64"/>
      <c r="C140" s="65" t="s">
        <v>303</v>
      </c>
      <c r="D140" s="65" t="s">
        <v>304</v>
      </c>
      <c r="E140" s="65" t="s">
        <v>305</v>
      </c>
      <c r="F140" s="66" t="s">
        <v>306</v>
      </c>
      <c r="G140" s="65" t="s">
        <v>307</v>
      </c>
      <c r="H140" s="65" t="s">
        <v>308</v>
      </c>
      <c r="I140" s="65" t="s">
        <v>309</v>
      </c>
      <c r="J140" s="65" t="s">
        <v>310</v>
      </c>
      <c r="K140" s="65" t="s">
        <v>311</v>
      </c>
      <c r="L140" s="60" t="s">
        <v>312</v>
      </c>
      <c r="M140" s="62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55"/>
      <c r="B141" s="56" t="str">
        <f>IF(Rosters!R58="*",Rosters!S58,IF(Rosters!R59="*",Rosters!S59,""))</f>
        <v>Andres Borregales (NE)</v>
      </c>
      <c r="C141" s="57">
        <v>26.0</v>
      </c>
      <c r="D141" s="57">
        <v>25.0</v>
      </c>
      <c r="E141" s="57">
        <v>25.0</v>
      </c>
      <c r="F141" s="57">
        <v>35.0</v>
      </c>
      <c r="G141" s="57"/>
      <c r="H141" s="57"/>
      <c r="I141" s="57"/>
      <c r="J141" s="57">
        <v>3.0</v>
      </c>
      <c r="K141" s="57">
        <v>1.0</v>
      </c>
      <c r="L141" s="57"/>
      <c r="M141" s="62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>6</v>
      </c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63"/>
      <c r="B142" s="64"/>
      <c r="C142" s="65" t="s">
        <v>313</v>
      </c>
      <c r="D142" s="65" t="s">
        <v>314</v>
      </c>
      <c r="E142" s="65" t="s">
        <v>297</v>
      </c>
      <c r="F142" s="65" t="s">
        <v>315</v>
      </c>
      <c r="G142" s="65" t="s">
        <v>295</v>
      </c>
      <c r="H142" s="66" t="s">
        <v>316</v>
      </c>
      <c r="I142" s="65" t="s">
        <v>317</v>
      </c>
      <c r="J142" s="65" t="s">
        <v>318</v>
      </c>
      <c r="K142" s="65"/>
      <c r="L142" s="60"/>
      <c r="M142" s="62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55"/>
      <c r="B143" s="56" t="str">
        <f>IF(Rosters!R62="*",Rosters!S62,IF(Rosters!R61="*",Rosters!S61,""))</f>
        <v>Detroit</v>
      </c>
      <c r="C143" s="57">
        <v>31.0</v>
      </c>
      <c r="D143" s="57"/>
      <c r="E143" s="57"/>
      <c r="F143" s="57"/>
      <c r="G143" s="57"/>
      <c r="H143" s="57"/>
      <c r="I143" s="57"/>
      <c r="J143" s="57"/>
      <c r="K143" s="66"/>
      <c r="L143" s="60"/>
      <c r="M143" s="62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>0</v>
      </c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63"/>
      <c r="B144" s="64"/>
      <c r="C144" s="66"/>
      <c r="D144" s="65"/>
      <c r="E144" s="65"/>
      <c r="F144" s="65"/>
      <c r="G144" s="65"/>
      <c r="H144" s="65"/>
      <c r="I144" s="65"/>
      <c r="J144" s="65"/>
      <c r="K144" s="65"/>
      <c r="L144" s="60"/>
      <c r="M144" s="62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67"/>
      <c r="B145" s="68" t="str">
        <f>IF(Rosters!R64="*",Rosters!S64,IF(Rosters!R65="*",Rosters!S65,""))</f>
        <v>Brian Schottenheimer (Dal)</v>
      </c>
      <c r="C145" s="69">
        <v>6.0</v>
      </c>
      <c r="D145" s="70"/>
      <c r="E145" s="70"/>
      <c r="F145" s="70"/>
      <c r="G145" s="70"/>
      <c r="H145" s="70"/>
      <c r="I145" s="70"/>
      <c r="J145" s="70"/>
      <c r="K145" s="70"/>
      <c r="L145" s="71"/>
      <c r="M145" s="72">
        <f>C145</f>
        <v>6</v>
      </c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conditionalFormatting sqref="M2:M145">
    <cfRule type="containsBlanks" dxfId="0" priority="1">
      <formula>LEN(TRIM(M2))=0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1.71"/>
    <col customWidth="1" min="3" max="4" width="8.71"/>
    <col customWidth="1" min="5" max="5" width="13.29"/>
    <col customWidth="1" min="6" max="13" width="8.71"/>
    <col customWidth="1" min="14" max="14" width="12.43"/>
    <col customWidth="1" min="15" max="26" width="8.71"/>
  </cols>
  <sheetData>
    <row r="1">
      <c r="A1" s="75"/>
      <c r="B1" s="75" t="s">
        <v>330</v>
      </c>
      <c r="C1" s="76" t="s">
        <v>331</v>
      </c>
      <c r="D1" s="75"/>
      <c r="E1" s="75" t="s">
        <v>332</v>
      </c>
      <c r="F1" s="77" t="s">
        <v>333</v>
      </c>
      <c r="G1" s="77" t="s">
        <v>334</v>
      </c>
      <c r="H1" s="77" t="s">
        <v>335</v>
      </c>
      <c r="I1" s="77" t="s">
        <v>336</v>
      </c>
      <c r="J1" s="77" t="s">
        <v>337</v>
      </c>
      <c r="K1" s="77" t="s">
        <v>313</v>
      </c>
      <c r="L1" s="76" t="s">
        <v>338</v>
      </c>
      <c r="M1" s="75"/>
      <c r="N1" s="78"/>
      <c r="O1" s="76"/>
      <c r="P1" s="76"/>
      <c r="Q1" s="79"/>
      <c r="R1" s="77"/>
      <c r="S1" s="77"/>
      <c r="T1" s="75"/>
      <c r="U1" s="75"/>
      <c r="V1" s="75"/>
      <c r="W1" s="75"/>
      <c r="X1" s="75"/>
      <c r="Y1" s="75"/>
      <c r="Z1" s="75"/>
    </row>
    <row r="2">
      <c r="A2" s="80">
        <v>1.0</v>
      </c>
      <c r="B2" s="49" t="s">
        <v>325</v>
      </c>
      <c r="C2" s="81">
        <f>Rosters!$G$67</f>
        <v>47</v>
      </c>
      <c r="E2" s="49" t="s">
        <v>339</v>
      </c>
      <c r="F2" s="57">
        <v>9.0</v>
      </c>
      <c r="G2" s="57">
        <v>3.0</v>
      </c>
      <c r="H2" s="57">
        <v>1.0</v>
      </c>
      <c r="I2" s="57">
        <v>10.0</v>
      </c>
      <c r="J2" s="57">
        <f t="shared" ref="J2:J13" si="1">I2+F2+0.5*H2</f>
        <v>19.5</v>
      </c>
      <c r="K2" s="57">
        <f>52+54+82+36+57+58+51+81+47+68+53+51+30</f>
        <v>720</v>
      </c>
      <c r="L2" s="82">
        <f t="shared" ref="L2:L13" si="2">round((K2-average(K$2:K$13))/_xlfn.stdev.p(K$2:K$13), 2)</f>
        <v>2.06</v>
      </c>
      <c r="M2" s="49"/>
      <c r="N2" s="83"/>
      <c r="O2" s="81"/>
      <c r="P2" s="84"/>
      <c r="Q2" s="30"/>
      <c r="R2" s="77"/>
      <c r="S2" s="74"/>
    </row>
    <row r="3">
      <c r="A3" s="80">
        <v>2.0</v>
      </c>
      <c r="B3" s="49" t="s">
        <v>321</v>
      </c>
      <c r="C3" s="85">
        <f>Rosters!$M$29</f>
        <v>34</v>
      </c>
      <c r="E3" s="49" t="s">
        <v>340</v>
      </c>
      <c r="F3" s="57">
        <v>9.0</v>
      </c>
      <c r="G3" s="57">
        <v>4.0</v>
      </c>
      <c r="H3" s="57">
        <v>0.0</v>
      </c>
      <c r="I3" s="57">
        <v>7.0</v>
      </c>
      <c r="J3" s="57">
        <f t="shared" si="1"/>
        <v>16</v>
      </c>
      <c r="K3" s="57">
        <f>51+44+33+31+56+46+70+37+54+63+32+59+75</f>
        <v>651</v>
      </c>
      <c r="L3" s="82">
        <f t="shared" si="2"/>
        <v>0.66</v>
      </c>
      <c r="M3" s="49"/>
      <c r="N3" s="86"/>
      <c r="O3" s="81"/>
      <c r="P3" s="57"/>
      <c r="Q3" s="30"/>
      <c r="R3" s="77"/>
      <c r="S3" s="74"/>
    </row>
    <row r="4">
      <c r="A4" s="80">
        <v>3.0</v>
      </c>
      <c r="B4" s="49" t="s">
        <v>319</v>
      </c>
      <c r="C4" s="81">
        <f>Rosters!$G$29</f>
        <v>25</v>
      </c>
      <c r="E4" s="49" t="s">
        <v>321</v>
      </c>
      <c r="F4" s="57">
        <v>7.0</v>
      </c>
      <c r="G4" s="57">
        <v>6.0</v>
      </c>
      <c r="H4" s="57">
        <v>0.0</v>
      </c>
      <c r="I4" s="57">
        <v>7.5</v>
      </c>
      <c r="J4" s="57">
        <f t="shared" si="1"/>
        <v>14.5</v>
      </c>
      <c r="K4" s="57">
        <f>70+43+44+56+68+62+60+46+54+39+41+35+34</f>
        <v>652</v>
      </c>
      <c r="L4" s="82">
        <f t="shared" si="2"/>
        <v>0.68</v>
      </c>
      <c r="M4" s="49"/>
      <c r="N4" s="86"/>
      <c r="O4" s="81"/>
      <c r="P4" s="84"/>
      <c r="Q4" s="30"/>
      <c r="R4" s="77"/>
      <c r="S4" s="74"/>
    </row>
    <row r="5">
      <c r="A5" s="80">
        <v>4.0</v>
      </c>
      <c r="B5" s="49" t="s">
        <v>329</v>
      </c>
      <c r="C5" s="85">
        <f>Rosters!$S$67</f>
        <v>33</v>
      </c>
      <c r="E5" s="49" t="s">
        <v>325</v>
      </c>
      <c r="F5" s="57">
        <v>8.0</v>
      </c>
      <c r="G5" s="57">
        <v>5.0</v>
      </c>
      <c r="H5" s="57">
        <v>0.0</v>
      </c>
      <c r="I5" s="57">
        <v>6.0</v>
      </c>
      <c r="J5" s="57">
        <f t="shared" si="1"/>
        <v>14</v>
      </c>
      <c r="K5" s="57">
        <f>16+59+44+21+49+45+53+33+51+46+63+52+47</f>
        <v>579</v>
      </c>
      <c r="L5" s="82">
        <f t="shared" si="2"/>
        <v>-0.8</v>
      </c>
      <c r="M5" s="49"/>
      <c r="N5" s="83"/>
      <c r="O5" s="81"/>
      <c r="P5" s="57"/>
      <c r="Q5" s="30"/>
      <c r="R5" s="77"/>
      <c r="S5" s="74"/>
    </row>
    <row r="6">
      <c r="A6" s="80">
        <v>5.0</v>
      </c>
      <c r="B6" s="49" t="s">
        <v>341</v>
      </c>
      <c r="C6" s="85">
        <f>Rosters!$J$67</f>
        <v>74</v>
      </c>
      <c r="E6" s="87" t="s">
        <v>326</v>
      </c>
      <c r="F6" s="57">
        <v>7.0</v>
      </c>
      <c r="G6" s="57">
        <v>6.0</v>
      </c>
      <c r="H6" s="57">
        <v>0.0</v>
      </c>
      <c r="I6" s="57">
        <v>7.0</v>
      </c>
      <c r="J6" s="57">
        <f t="shared" si="1"/>
        <v>14</v>
      </c>
      <c r="K6" s="57">
        <f>41+24+49+65+54+46+30+31+88+28+45+53+74</f>
        <v>628</v>
      </c>
      <c r="L6" s="82">
        <f t="shared" si="2"/>
        <v>0.19</v>
      </c>
      <c r="M6" s="49"/>
      <c r="N6" s="83"/>
      <c r="O6" s="81"/>
      <c r="P6" s="84"/>
      <c r="Q6" s="30"/>
      <c r="R6" s="77"/>
      <c r="S6" s="74"/>
    </row>
    <row r="7">
      <c r="A7" s="80">
        <v>6.0</v>
      </c>
      <c r="B7" s="49" t="s">
        <v>342</v>
      </c>
      <c r="C7" s="81">
        <f>Rosters!$P$67</f>
        <v>52</v>
      </c>
      <c r="E7" s="49" t="s">
        <v>319</v>
      </c>
      <c r="F7" s="57">
        <v>7.0</v>
      </c>
      <c r="G7" s="57">
        <v>6.0</v>
      </c>
      <c r="H7" s="57">
        <v>0.0</v>
      </c>
      <c r="I7" s="57">
        <v>7.0</v>
      </c>
      <c r="J7" s="57">
        <f t="shared" si="1"/>
        <v>14</v>
      </c>
      <c r="K7" s="57">
        <f>18+66+35+58+39+63+71+56+22+56+38+61+25</f>
        <v>608</v>
      </c>
      <c r="L7" s="82">
        <f t="shared" si="2"/>
        <v>-0.21</v>
      </c>
      <c r="M7" s="49"/>
      <c r="N7" s="83"/>
      <c r="O7" s="81"/>
      <c r="P7" s="84"/>
      <c r="Q7" s="30"/>
      <c r="R7" s="77"/>
      <c r="S7" s="74"/>
    </row>
    <row r="8">
      <c r="A8" s="80">
        <v>7.0</v>
      </c>
      <c r="B8" s="49" t="s">
        <v>340</v>
      </c>
      <c r="C8" s="81">
        <f>Rosters!$S$29</f>
        <v>75</v>
      </c>
      <c r="E8" s="49" t="s">
        <v>302</v>
      </c>
      <c r="F8" s="57">
        <v>6.0</v>
      </c>
      <c r="G8" s="57">
        <v>7.0</v>
      </c>
      <c r="H8" s="57">
        <v>0.0</v>
      </c>
      <c r="I8" s="57">
        <v>8.0</v>
      </c>
      <c r="J8" s="57">
        <f t="shared" si="1"/>
        <v>14</v>
      </c>
      <c r="K8" s="57">
        <f>55+51+45+71+20+47+56+17+50+71+33+41+56</f>
        <v>613</v>
      </c>
      <c r="L8" s="82">
        <f t="shared" si="2"/>
        <v>-0.11</v>
      </c>
      <c r="M8" s="49"/>
      <c r="N8" s="83"/>
      <c r="O8" s="81"/>
      <c r="P8" s="84"/>
      <c r="Q8" s="30"/>
      <c r="R8" s="77"/>
      <c r="S8" s="74"/>
    </row>
    <row r="9">
      <c r="A9" s="80">
        <v>8.0</v>
      </c>
      <c r="B9" s="49" t="s">
        <v>339</v>
      </c>
      <c r="C9" s="81">
        <f>Rosters!$M$67</f>
        <v>30</v>
      </c>
      <c r="E9" s="49" t="s">
        <v>342</v>
      </c>
      <c r="F9" s="57">
        <v>4.0</v>
      </c>
      <c r="G9" s="57">
        <v>9.0</v>
      </c>
      <c r="H9" s="57">
        <v>0.0</v>
      </c>
      <c r="I9" s="57">
        <v>7.0</v>
      </c>
      <c r="J9" s="57">
        <f t="shared" si="1"/>
        <v>11</v>
      </c>
      <c r="K9" s="57">
        <f>45+54+46+48+40+49+67+71+26+21+38+34+52</f>
        <v>591</v>
      </c>
      <c r="L9" s="82">
        <f t="shared" si="2"/>
        <v>-0.56</v>
      </c>
      <c r="M9" s="49"/>
      <c r="N9" s="83"/>
      <c r="O9" s="88"/>
      <c r="P9" s="84"/>
      <c r="Q9" s="30"/>
      <c r="R9" s="77"/>
      <c r="S9" s="74"/>
    </row>
    <row r="10">
      <c r="A10" s="80">
        <v>9.0</v>
      </c>
      <c r="B10" s="49" t="s">
        <v>320</v>
      </c>
      <c r="C10" s="85">
        <f>Rosters!$J$29</f>
        <v>47</v>
      </c>
      <c r="E10" s="49" t="s">
        <v>320</v>
      </c>
      <c r="F10" s="57">
        <v>5.0</v>
      </c>
      <c r="G10" s="57">
        <v>8.0</v>
      </c>
      <c r="H10" s="57">
        <v>0.0</v>
      </c>
      <c r="I10" s="57">
        <v>5.5</v>
      </c>
      <c r="J10" s="57">
        <f t="shared" si="1"/>
        <v>10.5</v>
      </c>
      <c r="K10" s="57">
        <f>36+56+42+42+84+58+71+43+38+38+57+42+47</f>
        <v>654</v>
      </c>
      <c r="L10" s="82">
        <f t="shared" si="2"/>
        <v>0.72</v>
      </c>
      <c r="M10" s="49"/>
      <c r="N10" s="74"/>
      <c r="O10" s="74"/>
      <c r="P10" s="74"/>
      <c r="Q10" s="74"/>
      <c r="R10" s="77"/>
      <c r="S10" s="74"/>
    </row>
    <row r="11">
      <c r="A11" s="80">
        <v>10.0</v>
      </c>
      <c r="B11" s="87" t="s">
        <v>343</v>
      </c>
      <c r="C11" s="85">
        <f>Rosters!$P$29</f>
        <v>35</v>
      </c>
      <c r="E11" s="87" t="s">
        <v>344</v>
      </c>
      <c r="F11" s="57">
        <v>4.0</v>
      </c>
      <c r="G11" s="57">
        <v>8.0</v>
      </c>
      <c r="H11" s="57">
        <v>1.0</v>
      </c>
      <c r="I11" s="57">
        <v>6.0</v>
      </c>
      <c r="J11" s="57">
        <f t="shared" si="1"/>
        <v>10.5</v>
      </c>
      <c r="K11" s="57">
        <f>52+44+63+63+36+21+51+51+46+59+57+36+35</f>
        <v>614</v>
      </c>
      <c r="L11" s="82">
        <f t="shared" si="2"/>
        <v>-0.09</v>
      </c>
      <c r="M11" s="49"/>
      <c r="N11" s="74"/>
      <c r="O11" s="74"/>
      <c r="P11" s="74"/>
      <c r="Q11" s="74"/>
      <c r="R11" s="77"/>
      <c r="S11" s="74"/>
    </row>
    <row r="12">
      <c r="A12" s="80">
        <v>11.0</v>
      </c>
      <c r="B12" s="49" t="s">
        <v>302</v>
      </c>
      <c r="C12" s="85">
        <f>Rosters!$D$29</f>
        <v>56</v>
      </c>
      <c r="E12" s="87" t="s">
        <v>324</v>
      </c>
      <c r="F12" s="57">
        <v>6.0</v>
      </c>
      <c r="G12" s="57">
        <v>7.0</v>
      </c>
      <c r="H12" s="57">
        <v>0.0</v>
      </c>
      <c r="I12" s="57">
        <v>3.0</v>
      </c>
      <c r="J12" s="57">
        <f t="shared" si="1"/>
        <v>9</v>
      </c>
      <c r="K12" s="57">
        <f>31+37+34+35+33+28+41+45+28+36+48+60+50</f>
        <v>506</v>
      </c>
      <c r="L12" s="82">
        <f t="shared" si="2"/>
        <v>-2.28</v>
      </c>
      <c r="M12" s="49"/>
      <c r="N12" s="74"/>
      <c r="O12" s="74"/>
      <c r="P12" s="74"/>
      <c r="Q12" s="74"/>
      <c r="R12" s="77"/>
      <c r="S12" s="74"/>
    </row>
    <row r="13">
      <c r="A13" s="80">
        <v>12.0</v>
      </c>
      <c r="B13" s="49" t="s">
        <v>324</v>
      </c>
      <c r="C13" s="81">
        <f>Rosters!$D$67</f>
        <v>50</v>
      </c>
      <c r="E13" s="49" t="s">
        <v>329</v>
      </c>
      <c r="F13" s="57">
        <v>5.0</v>
      </c>
      <c r="G13" s="57">
        <v>8.0</v>
      </c>
      <c r="H13" s="57">
        <v>0.0</v>
      </c>
      <c r="I13" s="57">
        <v>4.0</v>
      </c>
      <c r="J13" s="57">
        <f t="shared" si="1"/>
        <v>9</v>
      </c>
      <c r="K13" s="57">
        <f>42+58+30+66+69+39+44+71+39+45+25+44+33</f>
        <v>605</v>
      </c>
      <c r="L13" s="82">
        <f t="shared" si="2"/>
        <v>-0.27</v>
      </c>
      <c r="M13" s="49"/>
      <c r="N13" s="74"/>
      <c r="O13" s="74"/>
      <c r="P13" s="74"/>
      <c r="Q13" s="74"/>
      <c r="R13" s="77"/>
      <c r="S13" s="74"/>
    </row>
    <row r="14">
      <c r="C14" s="30"/>
      <c r="F14" s="77">
        <f t="shared" ref="F14:J14" si="3">SUM(F2:F13)</f>
        <v>77</v>
      </c>
      <c r="G14" s="77">
        <f t="shared" si="3"/>
        <v>77</v>
      </c>
      <c r="H14" s="77">
        <f t="shared" si="3"/>
        <v>2</v>
      </c>
      <c r="I14" s="77">
        <f t="shared" si="3"/>
        <v>78</v>
      </c>
      <c r="J14" s="77">
        <f t="shared" si="3"/>
        <v>156</v>
      </c>
      <c r="K14" s="89">
        <f>round(average(K2:K13), 1)</f>
        <v>618.4</v>
      </c>
      <c r="L14" s="90"/>
    </row>
    <row r="15">
      <c r="C15" s="74"/>
      <c r="D15" s="74"/>
      <c r="E15" s="75"/>
      <c r="K15" s="30">
        <f>round(_xlfn.stdev.p(K2:K13), 1)</f>
        <v>49.3</v>
      </c>
    </row>
    <row r="16">
      <c r="B16" s="91"/>
      <c r="C16" s="77"/>
      <c r="D16" s="77"/>
      <c r="E16" s="77"/>
      <c r="G16" s="91"/>
      <c r="H16" s="74"/>
      <c r="L16" s="91"/>
      <c r="M16" s="74"/>
      <c r="Q16" s="91"/>
    </row>
    <row r="17">
      <c r="B17" s="87"/>
      <c r="C17" s="76"/>
      <c r="D17" s="76"/>
      <c r="E17" s="57"/>
      <c r="F17" s="74"/>
      <c r="G17" s="92"/>
      <c r="H17" s="74"/>
      <c r="I17" s="74"/>
      <c r="J17" s="93"/>
      <c r="L17" s="92"/>
      <c r="M17" s="57"/>
      <c r="N17" s="57"/>
      <c r="O17" s="86"/>
      <c r="R17" s="84"/>
      <c r="S17" s="84"/>
    </row>
    <row r="18">
      <c r="B18" s="87"/>
      <c r="C18" s="76"/>
      <c r="D18" s="76"/>
      <c r="E18" s="57"/>
      <c r="F18" s="74"/>
      <c r="G18" s="92"/>
      <c r="H18" s="74"/>
      <c r="I18" s="74"/>
      <c r="J18" s="93"/>
      <c r="L18" s="92"/>
      <c r="M18" s="57"/>
      <c r="N18" s="57"/>
      <c r="O18" s="86"/>
      <c r="R18" s="84"/>
      <c r="S18" s="84"/>
    </row>
    <row r="19">
      <c r="B19" s="87"/>
      <c r="C19" s="76"/>
      <c r="D19" s="57"/>
      <c r="E19" s="57"/>
      <c r="F19" s="74"/>
      <c r="G19" s="92"/>
      <c r="H19" s="78"/>
      <c r="I19" s="76"/>
      <c r="J19" s="76"/>
      <c r="K19" s="79"/>
      <c r="L19" s="92"/>
      <c r="M19" s="57"/>
      <c r="N19" s="57"/>
      <c r="O19" s="86"/>
      <c r="R19" s="84"/>
      <c r="S19" s="84"/>
    </row>
    <row r="20">
      <c r="B20" s="87"/>
      <c r="C20" s="76"/>
      <c r="D20" s="57"/>
      <c r="E20" s="57"/>
      <c r="F20" s="74"/>
      <c r="G20" s="92"/>
      <c r="H20" s="86"/>
      <c r="I20" s="88"/>
      <c r="J20" s="92"/>
      <c r="K20" s="85"/>
      <c r="L20" s="92"/>
      <c r="M20" s="57"/>
      <c r="N20" s="57"/>
      <c r="O20" s="86"/>
      <c r="R20" s="84"/>
      <c r="S20" s="84"/>
    </row>
    <row r="21" ht="15.75" customHeight="1">
      <c r="B21" s="87"/>
      <c r="C21" s="57"/>
      <c r="D21" s="57"/>
      <c r="E21" s="57"/>
      <c r="F21" s="74"/>
      <c r="G21" s="92"/>
      <c r="H21" s="86"/>
      <c r="I21" s="88"/>
      <c r="J21" s="92"/>
      <c r="K21" s="85"/>
      <c r="L21" s="57"/>
      <c r="M21" s="57"/>
      <c r="N21" s="57"/>
      <c r="O21" s="86"/>
      <c r="R21" s="84"/>
      <c r="S21" s="84"/>
    </row>
    <row r="22" ht="15.75" customHeight="1">
      <c r="B22" s="87"/>
      <c r="C22" s="57"/>
      <c r="D22" s="57"/>
      <c r="E22" s="57"/>
      <c r="F22" s="74"/>
      <c r="G22" s="92"/>
      <c r="H22" s="86"/>
      <c r="I22" s="88"/>
      <c r="J22" s="94"/>
      <c r="K22" s="85"/>
      <c r="L22" s="57"/>
      <c r="M22" s="57"/>
      <c r="N22" s="57"/>
      <c r="O22" s="86"/>
      <c r="R22" s="84"/>
      <c r="S22" s="84"/>
    </row>
    <row r="23" ht="15.75" customHeight="1">
      <c r="B23" s="49"/>
      <c r="C23" s="74"/>
      <c r="D23" s="92"/>
      <c r="E23" s="92"/>
      <c r="H23" s="86"/>
      <c r="I23" s="88"/>
      <c r="J23" s="92"/>
      <c r="K23" s="85"/>
    </row>
    <row r="24" ht="15.75" customHeight="1">
      <c r="B24" s="95"/>
      <c r="C24" s="74"/>
      <c r="D24" s="92"/>
      <c r="E24" s="92"/>
      <c r="G24" s="91"/>
      <c r="H24" s="86"/>
      <c r="I24" s="88"/>
      <c r="J24" s="94"/>
      <c r="K24" s="85"/>
      <c r="L24" s="91"/>
      <c r="Q24" s="91"/>
    </row>
    <row r="25" ht="15.75" customHeight="1">
      <c r="B25" s="87"/>
      <c r="C25" s="76"/>
      <c r="D25" s="57"/>
      <c r="E25" s="57"/>
      <c r="H25" s="86"/>
      <c r="I25" s="88"/>
      <c r="J25" s="94"/>
      <c r="K25" s="85"/>
      <c r="M25" s="84"/>
      <c r="N25" s="84"/>
    </row>
    <row r="26" ht="15.75" customHeight="1">
      <c r="B26" s="87"/>
      <c r="C26" s="76"/>
      <c r="D26" s="57"/>
      <c r="E26" s="57"/>
      <c r="H26" s="86"/>
      <c r="I26" s="88"/>
      <c r="J26" s="94"/>
      <c r="K26" s="85"/>
      <c r="M26" s="84"/>
      <c r="N26" s="84"/>
    </row>
    <row r="27" ht="15.75" customHeight="1">
      <c r="B27" s="87"/>
      <c r="C27" s="76"/>
      <c r="D27" s="76"/>
      <c r="E27" s="57"/>
      <c r="H27" s="86"/>
      <c r="I27" s="88"/>
      <c r="J27" s="94"/>
      <c r="K27" s="85"/>
      <c r="M27" s="84"/>
      <c r="N27" s="84"/>
    </row>
    <row r="28" ht="15.75" customHeight="1">
      <c r="B28" s="87"/>
      <c r="C28" s="76"/>
      <c r="D28" s="57"/>
      <c r="E28" s="57"/>
      <c r="H28" s="83"/>
      <c r="I28" s="81"/>
      <c r="J28" s="96"/>
      <c r="M28" s="84"/>
      <c r="N28" s="84"/>
    </row>
    <row r="29" ht="15.75" customHeight="1">
      <c r="C29" s="30"/>
      <c r="D29" s="92"/>
      <c r="E29" s="57"/>
      <c r="H29" s="74"/>
      <c r="I29" s="81"/>
      <c r="J29" s="96"/>
      <c r="M29" s="84"/>
      <c r="N29" s="84"/>
    </row>
    <row r="30" ht="15.75" customHeight="1">
      <c r="A30" s="75"/>
      <c r="B30" s="87"/>
      <c r="C30" s="76"/>
      <c r="D30" s="57"/>
      <c r="E30" s="57"/>
      <c r="H30" s="74"/>
      <c r="I30" s="81"/>
      <c r="J30" s="96"/>
      <c r="M30" s="84"/>
      <c r="N30" s="84"/>
    </row>
    <row r="31" ht="15.75" customHeight="1">
      <c r="A31" s="75"/>
      <c r="B31" s="49"/>
      <c r="C31" s="74"/>
      <c r="D31" s="92"/>
      <c r="E31" s="57"/>
      <c r="G31" s="74"/>
      <c r="H31" s="74"/>
      <c r="I31" s="81"/>
      <c r="J31" s="83"/>
    </row>
    <row r="32" ht="15.75" customHeight="1">
      <c r="A32" s="75"/>
      <c r="B32" s="95"/>
      <c r="C32" s="74"/>
      <c r="D32" s="92"/>
      <c r="E32" s="57"/>
      <c r="G32" s="78"/>
      <c r="H32" s="74"/>
      <c r="I32" s="81"/>
      <c r="J32" s="83"/>
      <c r="L32" s="91"/>
    </row>
    <row r="33" ht="15.75" customHeight="1">
      <c r="A33" s="75"/>
      <c r="B33" s="87"/>
      <c r="C33" s="57"/>
      <c r="D33" s="57"/>
      <c r="E33" s="57"/>
      <c r="G33" s="86"/>
      <c r="H33" s="57"/>
      <c r="I33" s="57"/>
      <c r="J33" s="86"/>
      <c r="M33" s="84"/>
      <c r="N33" s="84"/>
    </row>
    <row r="34" ht="15.75" customHeight="1">
      <c r="A34" s="75"/>
      <c r="B34" s="87"/>
      <c r="C34" s="57"/>
      <c r="D34" s="57"/>
      <c r="E34" s="57"/>
      <c r="G34" s="86"/>
      <c r="H34" s="57"/>
      <c r="I34" s="57"/>
      <c r="J34" s="86"/>
      <c r="M34" s="84"/>
      <c r="N34" s="84"/>
    </row>
    <row r="35" ht="15.75" customHeight="1">
      <c r="A35" s="75"/>
      <c r="B35" s="87"/>
      <c r="C35" s="57"/>
      <c r="D35" s="57"/>
      <c r="E35" s="57"/>
      <c r="G35" s="86"/>
      <c r="H35" s="57"/>
      <c r="I35" s="57"/>
      <c r="J35" s="86"/>
      <c r="M35" s="84"/>
      <c r="N35" s="84"/>
    </row>
    <row r="36" ht="15.75" customHeight="1">
      <c r="A36" s="75"/>
      <c r="B36" s="87"/>
      <c r="C36" s="57"/>
      <c r="D36" s="57"/>
      <c r="E36" s="57"/>
      <c r="G36" s="86"/>
      <c r="H36" s="57"/>
      <c r="I36" s="57"/>
      <c r="J36" s="86"/>
      <c r="M36" s="84"/>
      <c r="N36" s="84"/>
    </row>
    <row r="37" ht="15.75" customHeight="1">
      <c r="B37" s="87"/>
      <c r="C37" s="57"/>
      <c r="D37" s="57"/>
      <c r="E37" s="57"/>
      <c r="G37" s="96"/>
      <c r="H37" s="84"/>
      <c r="I37" s="84"/>
      <c r="J37" s="96"/>
      <c r="M37" s="84"/>
      <c r="N37" s="84"/>
    </row>
    <row r="38" ht="15.75" customHeight="1">
      <c r="B38" s="87"/>
      <c r="C38" s="57"/>
      <c r="D38" s="57"/>
      <c r="E38" s="57"/>
      <c r="G38" s="96"/>
      <c r="H38" s="84"/>
      <c r="I38" s="84"/>
      <c r="J38" s="96"/>
      <c r="M38" s="84"/>
      <c r="N38" s="84"/>
    </row>
    <row r="39" ht="15.75" customHeight="1">
      <c r="B39" s="49"/>
      <c r="C39" s="74"/>
      <c r="D39" s="92"/>
      <c r="E39" s="57"/>
      <c r="J39" s="97"/>
    </row>
    <row r="40" ht="15.75" customHeight="1">
      <c r="B40" s="95"/>
      <c r="C40" s="74"/>
      <c r="D40" s="92"/>
      <c r="E40" s="57"/>
      <c r="G40" s="91"/>
      <c r="J40" s="97"/>
      <c r="L40" s="91"/>
    </row>
    <row r="41" ht="15.75" customHeight="1">
      <c r="B41" s="87"/>
      <c r="C41" s="57"/>
      <c r="D41" s="57"/>
      <c r="E41" s="57"/>
      <c r="H41" s="30"/>
      <c r="I41" s="30"/>
      <c r="J41" s="96"/>
      <c r="M41" s="84"/>
      <c r="N41" s="84"/>
    </row>
    <row r="42" ht="15.75" customHeight="1">
      <c r="B42" s="87"/>
      <c r="C42" s="57"/>
      <c r="D42" s="57"/>
      <c r="E42" s="57"/>
      <c r="H42" s="30"/>
      <c r="I42" s="30"/>
      <c r="J42" s="96"/>
      <c r="M42" s="84"/>
      <c r="N42" s="84"/>
    </row>
    <row r="43" ht="15.75" customHeight="1">
      <c r="C43" s="57"/>
      <c r="D43" s="57"/>
      <c r="E43" s="57"/>
      <c r="H43" s="30"/>
      <c r="I43" s="30"/>
      <c r="J43" s="96"/>
      <c r="M43" s="84"/>
      <c r="N43" s="84"/>
    </row>
    <row r="44" ht="15.75" customHeight="1">
      <c r="B44" s="87"/>
      <c r="C44" s="57"/>
      <c r="D44" s="57"/>
      <c r="E44" s="57"/>
      <c r="H44" s="30"/>
      <c r="I44" s="30"/>
      <c r="J44" s="96"/>
      <c r="M44" s="84"/>
      <c r="N44" s="84"/>
    </row>
    <row r="45" ht="15.75" customHeight="1">
      <c r="A45" s="75"/>
      <c r="B45" s="87"/>
      <c r="C45" s="57"/>
      <c r="D45" s="57"/>
      <c r="E45" s="57"/>
      <c r="G45" s="86"/>
      <c r="H45" s="74"/>
      <c r="I45" s="30"/>
      <c r="J45" s="86"/>
      <c r="M45" s="84"/>
      <c r="N45" s="84"/>
    </row>
    <row r="46" ht="15.75" customHeight="1">
      <c r="A46" s="75"/>
      <c r="B46" s="87"/>
      <c r="C46" s="57"/>
      <c r="D46" s="57"/>
      <c r="E46" s="57"/>
      <c r="G46" s="86"/>
      <c r="H46" s="74"/>
      <c r="I46" s="30"/>
      <c r="J46" s="86"/>
      <c r="M46" s="84"/>
      <c r="N46" s="84"/>
    </row>
    <row r="47" ht="15.75" customHeight="1">
      <c r="A47" s="75"/>
      <c r="B47" s="49"/>
      <c r="C47" s="74"/>
      <c r="D47" s="57"/>
      <c r="E47" s="57"/>
      <c r="G47" s="74"/>
      <c r="H47" s="74"/>
      <c r="I47" s="74"/>
      <c r="J47" s="74"/>
    </row>
    <row r="48" ht="15.75" customHeight="1">
      <c r="A48" s="75"/>
      <c r="B48" s="95"/>
      <c r="C48" s="74"/>
      <c r="D48" s="57"/>
      <c r="E48" s="57"/>
      <c r="G48" s="74"/>
      <c r="H48" s="74"/>
      <c r="I48" s="74"/>
      <c r="J48" s="74"/>
    </row>
    <row r="49" ht="15.75" customHeight="1">
      <c r="A49" s="75"/>
      <c r="B49" s="87"/>
      <c r="C49" s="57"/>
      <c r="D49" s="57"/>
      <c r="E49" s="57"/>
      <c r="G49" s="74"/>
      <c r="H49" s="74"/>
      <c r="I49" s="74"/>
      <c r="J49" s="74"/>
    </row>
    <row r="50" ht="15.75" customHeight="1">
      <c r="A50" s="75"/>
      <c r="B50" s="87"/>
      <c r="C50" s="57"/>
      <c r="D50" s="57"/>
      <c r="E50" s="57"/>
      <c r="G50" s="74"/>
      <c r="H50" s="74"/>
      <c r="I50" s="74"/>
      <c r="J50" s="74"/>
    </row>
    <row r="51" ht="15.75" customHeight="1">
      <c r="B51" s="87"/>
      <c r="C51" s="57"/>
      <c r="D51" s="57"/>
      <c r="E51" s="57"/>
    </row>
    <row r="52" ht="15.75" customHeight="1">
      <c r="B52" s="87"/>
      <c r="C52" s="57"/>
      <c r="D52" s="57"/>
      <c r="E52" s="57"/>
    </row>
    <row r="53" ht="15.75" customHeight="1">
      <c r="B53" s="87"/>
      <c r="C53" s="57"/>
      <c r="D53" s="57"/>
      <c r="E53" s="57"/>
    </row>
    <row r="54" ht="15.75" customHeight="1">
      <c r="B54" s="87"/>
      <c r="C54" s="57"/>
      <c r="D54" s="57"/>
      <c r="E54" s="57"/>
    </row>
    <row r="55" ht="15.75" customHeight="1">
      <c r="B55" s="49"/>
      <c r="C55" s="74"/>
      <c r="D55" s="57"/>
      <c r="E55" s="57"/>
    </row>
    <row r="56" ht="15.75" customHeight="1">
      <c r="B56" s="95"/>
      <c r="C56" s="74"/>
      <c r="D56" s="57"/>
      <c r="E56" s="57"/>
    </row>
    <row r="57" ht="15.75" customHeight="1">
      <c r="C57" s="84"/>
      <c r="D57" s="57"/>
      <c r="E57" s="57"/>
    </row>
    <row r="58" ht="15.75" customHeight="1">
      <c r="A58" s="75"/>
      <c r="B58" s="87"/>
      <c r="C58" s="57"/>
      <c r="D58" s="57"/>
      <c r="E58" s="57"/>
      <c r="G58" s="74"/>
      <c r="H58" s="74"/>
      <c r="I58" s="74"/>
      <c r="J58" s="74"/>
    </row>
    <row r="59" ht="15.75" customHeight="1">
      <c r="A59" s="75"/>
      <c r="B59" s="87"/>
      <c r="C59" s="57"/>
      <c r="D59" s="57"/>
      <c r="E59" s="57"/>
      <c r="G59" s="74"/>
      <c r="H59" s="74"/>
      <c r="I59" s="74"/>
      <c r="J59" s="74"/>
    </row>
    <row r="60" ht="15.75" customHeight="1">
      <c r="A60" s="75"/>
      <c r="B60" s="87"/>
      <c r="C60" s="57"/>
      <c r="D60" s="57"/>
      <c r="E60" s="57"/>
      <c r="G60" s="74"/>
      <c r="H60" s="74"/>
      <c r="I60" s="74"/>
      <c r="J60" s="74"/>
    </row>
    <row r="61" ht="15.75" customHeight="1">
      <c r="A61" s="75"/>
      <c r="B61" s="87"/>
      <c r="C61" s="57"/>
      <c r="D61" s="57"/>
      <c r="E61" s="57"/>
      <c r="G61" s="74"/>
      <c r="H61" s="74"/>
      <c r="I61" s="74"/>
      <c r="J61" s="74"/>
    </row>
    <row r="62" ht="15.75" customHeight="1">
      <c r="A62" s="75"/>
      <c r="B62" s="87"/>
      <c r="C62" s="57"/>
      <c r="D62" s="57"/>
      <c r="E62" s="57"/>
      <c r="G62" s="74"/>
      <c r="H62" s="74"/>
      <c r="I62" s="74"/>
      <c r="J62" s="74"/>
    </row>
    <row r="63" ht="15.75" customHeight="1">
      <c r="A63" s="75"/>
      <c r="B63" s="49"/>
      <c r="C63" s="74"/>
      <c r="D63" s="57"/>
      <c r="E63" s="57"/>
      <c r="G63" s="74"/>
      <c r="H63" s="74"/>
      <c r="I63" s="74"/>
      <c r="J63" s="74"/>
    </row>
    <row r="64" ht="15.75" customHeight="1">
      <c r="A64" s="75"/>
      <c r="B64" s="95"/>
      <c r="C64" s="74"/>
      <c r="D64" s="57"/>
      <c r="E64" s="57"/>
      <c r="G64" s="74"/>
      <c r="H64" s="74"/>
      <c r="I64" s="74"/>
      <c r="J64" s="74"/>
    </row>
    <row r="65" ht="15.75" customHeight="1">
      <c r="A65" s="49"/>
      <c r="B65" s="87"/>
      <c r="C65" s="57"/>
      <c r="D65" s="57"/>
      <c r="E65" s="57"/>
      <c r="G65" s="74"/>
      <c r="H65" s="74"/>
      <c r="I65" s="74"/>
      <c r="J65" s="74"/>
    </row>
    <row r="66" ht="15.75" customHeight="1">
      <c r="A66" s="49"/>
      <c r="B66" s="87"/>
      <c r="C66" s="57"/>
      <c r="D66" s="57"/>
      <c r="E66" s="57"/>
      <c r="G66" s="74"/>
      <c r="H66" s="74"/>
      <c r="I66" s="74"/>
      <c r="J66" s="74"/>
    </row>
    <row r="67" ht="15.75" customHeight="1">
      <c r="A67" s="49"/>
      <c r="B67" s="87"/>
      <c r="C67" s="57"/>
      <c r="D67" s="57"/>
      <c r="E67" s="57"/>
      <c r="G67" s="74"/>
      <c r="H67" s="74"/>
      <c r="I67" s="74"/>
      <c r="J67" s="74"/>
    </row>
    <row r="68" ht="15.75" customHeight="1">
      <c r="A68" s="49"/>
      <c r="B68" s="87"/>
      <c r="C68" s="57"/>
      <c r="D68" s="57"/>
      <c r="E68" s="57"/>
      <c r="G68" s="74"/>
      <c r="H68" s="74"/>
      <c r="I68" s="74"/>
      <c r="J68" s="74"/>
    </row>
    <row r="69" ht="15.75" customHeight="1">
      <c r="A69" s="49"/>
      <c r="B69" s="87"/>
      <c r="C69" s="57"/>
      <c r="D69" s="57"/>
      <c r="E69" s="57"/>
      <c r="G69" s="74"/>
      <c r="H69" s="74"/>
      <c r="I69" s="74"/>
      <c r="J69" s="74"/>
    </row>
    <row r="70" ht="15.75" customHeight="1">
      <c r="A70" s="49"/>
      <c r="B70" s="87"/>
      <c r="C70" s="57"/>
      <c r="D70" s="57"/>
      <c r="E70" s="57"/>
      <c r="G70" s="74"/>
      <c r="H70" s="74"/>
      <c r="I70" s="74"/>
      <c r="J70" s="74"/>
    </row>
    <row r="71" ht="15.75" customHeight="1">
      <c r="A71" s="75"/>
      <c r="B71" s="49"/>
      <c r="C71" s="49"/>
      <c r="D71" s="74"/>
      <c r="E71" s="74"/>
      <c r="G71" s="74"/>
      <c r="H71" s="74"/>
      <c r="I71" s="74"/>
      <c r="J71" s="74"/>
    </row>
    <row r="72" ht="15.75" customHeight="1">
      <c r="B72" s="95"/>
      <c r="C72" s="84"/>
      <c r="D72" s="57"/>
      <c r="E72" s="57"/>
      <c r="G72" s="74"/>
      <c r="H72" s="74"/>
      <c r="I72" s="74"/>
      <c r="J72" s="74"/>
    </row>
    <row r="73" ht="15.75" customHeight="1">
      <c r="A73" s="75"/>
      <c r="B73" s="49"/>
      <c r="C73" s="74"/>
      <c r="D73" s="57"/>
      <c r="E73" s="57"/>
      <c r="G73" s="74"/>
      <c r="H73" s="74"/>
      <c r="I73" s="74"/>
      <c r="J73" s="74"/>
    </row>
    <row r="74" ht="15.75" customHeight="1">
      <c r="A74" s="75"/>
      <c r="B74" s="49"/>
      <c r="C74" s="74"/>
      <c r="D74" s="57"/>
      <c r="E74" s="57"/>
      <c r="G74" s="74"/>
      <c r="H74" s="74"/>
      <c r="I74" s="74"/>
      <c r="J74" s="74"/>
    </row>
    <row r="75" ht="15.75" customHeight="1">
      <c r="A75" s="75"/>
      <c r="B75" s="49"/>
      <c r="C75" s="74"/>
      <c r="D75" s="57"/>
      <c r="E75" s="57"/>
      <c r="G75" s="74"/>
      <c r="H75" s="74"/>
      <c r="I75" s="74"/>
      <c r="J75" s="74"/>
    </row>
    <row r="76" ht="15.75" customHeight="1">
      <c r="A76" s="75"/>
      <c r="B76" s="49"/>
      <c r="C76" s="74"/>
      <c r="D76" s="57"/>
      <c r="E76" s="57"/>
      <c r="G76" s="74"/>
      <c r="H76" s="74"/>
      <c r="I76" s="74"/>
      <c r="J76" s="74"/>
    </row>
    <row r="77" ht="15.75" customHeight="1">
      <c r="A77" s="75"/>
      <c r="B77" s="49"/>
      <c r="C77" s="74"/>
      <c r="D77" s="57"/>
      <c r="E77" s="57"/>
      <c r="G77" s="74"/>
      <c r="H77" s="74"/>
      <c r="I77" s="74"/>
      <c r="J77" s="74"/>
    </row>
    <row r="78" ht="15.75" customHeight="1">
      <c r="A78" s="75"/>
      <c r="B78" s="49"/>
      <c r="C78" s="74"/>
      <c r="D78" s="57"/>
      <c r="E78" s="57"/>
      <c r="G78" s="74"/>
      <c r="H78" s="74"/>
      <c r="I78" s="74"/>
      <c r="J78" s="74"/>
    </row>
    <row r="79" ht="15.75" customHeight="1">
      <c r="B79" s="49"/>
      <c r="C79" s="74"/>
      <c r="D79" s="57"/>
      <c r="E79" s="57"/>
      <c r="G79" s="74"/>
      <c r="H79" s="74"/>
      <c r="I79" s="74"/>
      <c r="J79" s="74"/>
    </row>
    <row r="80" ht="15.75" customHeight="1">
      <c r="B80" s="49"/>
      <c r="C80" s="74"/>
      <c r="D80" s="57"/>
      <c r="E80" s="57"/>
      <c r="G80" s="74"/>
      <c r="H80" s="74"/>
      <c r="I80" s="74"/>
      <c r="J80" s="74"/>
    </row>
    <row r="81" ht="15.75" customHeight="1">
      <c r="B81" s="49"/>
      <c r="C81" s="74"/>
      <c r="D81" s="57"/>
      <c r="E81" s="57"/>
      <c r="G81" s="74"/>
      <c r="H81" s="74"/>
      <c r="I81" s="74"/>
      <c r="J81" s="74"/>
    </row>
    <row r="82" ht="15.75" customHeight="1">
      <c r="B82" s="49"/>
      <c r="C82" s="74"/>
      <c r="D82" s="57"/>
      <c r="E82" s="57"/>
      <c r="G82" s="74"/>
      <c r="H82" s="74"/>
      <c r="I82" s="74"/>
      <c r="J82" s="74"/>
    </row>
    <row r="83" ht="15.75" customHeight="1">
      <c r="B83" s="49"/>
      <c r="C83" s="74"/>
      <c r="D83" s="57"/>
      <c r="E83" s="57"/>
      <c r="G83" s="74"/>
      <c r="H83" s="74"/>
      <c r="I83" s="74"/>
      <c r="J83" s="74"/>
    </row>
    <row r="84" ht="15.75" customHeight="1">
      <c r="B84" s="49"/>
      <c r="C84" s="74"/>
      <c r="D84" s="57"/>
      <c r="E84" s="57"/>
      <c r="G84" s="74"/>
      <c r="H84" s="74"/>
      <c r="I84" s="74"/>
      <c r="J84" s="74"/>
    </row>
    <row r="85" ht="15.75" customHeight="1">
      <c r="C85" s="74"/>
      <c r="D85" s="74"/>
      <c r="E85" s="74"/>
      <c r="G85" s="74"/>
      <c r="H85" s="74"/>
      <c r="I85" s="74"/>
      <c r="J85" s="74"/>
    </row>
    <row r="86" ht="15.75" customHeight="1">
      <c r="B86" s="95"/>
      <c r="C86" s="30"/>
      <c r="D86" s="74"/>
      <c r="E86" s="74"/>
      <c r="G86" s="74"/>
      <c r="H86" s="74"/>
      <c r="I86" s="74"/>
      <c r="J86" s="74"/>
    </row>
    <row r="87" ht="15.75" customHeight="1">
      <c r="A87" s="75"/>
      <c r="B87" s="49"/>
      <c r="C87" s="49"/>
      <c r="D87" s="57"/>
      <c r="E87" s="57"/>
      <c r="G87" s="74"/>
      <c r="H87" s="74"/>
      <c r="I87" s="74"/>
      <c r="J87" s="74"/>
    </row>
    <row r="88" ht="15.75" customHeight="1">
      <c r="A88" s="75"/>
      <c r="B88" s="49"/>
      <c r="C88" s="49"/>
      <c r="D88" s="57"/>
      <c r="E88" s="57"/>
      <c r="G88" s="74"/>
      <c r="H88" s="74"/>
      <c r="I88" s="74"/>
      <c r="J88" s="74"/>
    </row>
    <row r="89" ht="15.75" customHeight="1">
      <c r="A89" s="75"/>
      <c r="B89" s="49"/>
      <c r="C89" s="49"/>
      <c r="D89" s="57"/>
      <c r="E89" s="57"/>
      <c r="G89" s="74"/>
      <c r="H89" s="74"/>
      <c r="I89" s="74"/>
      <c r="J89" s="74"/>
    </row>
    <row r="90" ht="15.75" customHeight="1">
      <c r="A90" s="75"/>
      <c r="B90" s="49"/>
      <c r="C90" s="49"/>
      <c r="D90" s="57"/>
      <c r="E90" s="57"/>
      <c r="G90" s="74"/>
      <c r="H90" s="74"/>
      <c r="I90" s="74"/>
      <c r="J90" s="74"/>
    </row>
    <row r="91" ht="15.75" customHeight="1">
      <c r="A91" s="75"/>
      <c r="B91" s="49"/>
      <c r="C91" s="49"/>
      <c r="D91" s="57"/>
      <c r="E91" s="57"/>
      <c r="G91" s="74"/>
      <c r="H91" s="74"/>
      <c r="I91" s="74"/>
      <c r="J91" s="74"/>
    </row>
    <row r="92" ht="15.75" customHeight="1">
      <c r="A92" s="75"/>
      <c r="B92" s="49"/>
      <c r="C92" s="49"/>
      <c r="D92" s="57"/>
      <c r="E92" s="57"/>
      <c r="G92" s="74"/>
      <c r="H92" s="74"/>
      <c r="I92" s="74"/>
      <c r="J92" s="74"/>
    </row>
    <row r="93" ht="15.75" customHeight="1">
      <c r="B93" s="49"/>
      <c r="C93" s="49"/>
      <c r="D93" s="57"/>
      <c r="E93" s="57"/>
      <c r="G93" s="74"/>
      <c r="H93" s="74"/>
      <c r="I93" s="74"/>
      <c r="J93" s="74"/>
    </row>
    <row r="94" ht="15.75" customHeight="1">
      <c r="B94" s="49"/>
      <c r="C94" s="49"/>
      <c r="D94" s="57"/>
      <c r="E94" s="57"/>
      <c r="G94" s="74"/>
      <c r="H94" s="74"/>
      <c r="I94" s="74"/>
      <c r="J94" s="74"/>
    </row>
    <row r="95" ht="15.75" customHeight="1">
      <c r="B95" s="49"/>
      <c r="C95" s="49"/>
      <c r="D95" s="57"/>
      <c r="E95" s="57"/>
      <c r="G95" s="74"/>
      <c r="H95" s="74"/>
      <c r="I95" s="74"/>
      <c r="J95" s="74"/>
    </row>
    <row r="96" ht="15.75" customHeight="1">
      <c r="B96" s="49"/>
      <c r="C96" s="49"/>
      <c r="D96" s="57"/>
      <c r="E96" s="57"/>
      <c r="G96" s="74"/>
      <c r="H96" s="74"/>
      <c r="I96" s="74"/>
      <c r="J96" s="74"/>
    </row>
    <row r="97" ht="15.75" customHeight="1">
      <c r="B97" s="49"/>
      <c r="C97" s="49"/>
      <c r="D97" s="57"/>
      <c r="E97" s="57"/>
      <c r="G97" s="74"/>
      <c r="H97" s="74"/>
      <c r="I97" s="74"/>
      <c r="J97" s="74"/>
    </row>
    <row r="98" ht="15.75" customHeight="1">
      <c r="B98" s="49"/>
      <c r="C98" s="49"/>
      <c r="D98" s="57"/>
      <c r="E98" s="57"/>
      <c r="G98" s="74"/>
      <c r="H98" s="74"/>
      <c r="I98" s="74"/>
      <c r="J98" s="74"/>
    </row>
    <row r="99" ht="15.75" customHeight="1">
      <c r="C99" s="74"/>
      <c r="D99" s="74"/>
      <c r="E99" s="74"/>
      <c r="G99" s="74"/>
      <c r="H99" s="74"/>
      <c r="I99" s="74"/>
      <c r="J99" s="74"/>
    </row>
    <row r="100" ht="15.75" customHeight="1">
      <c r="B100" s="75"/>
      <c r="C100" s="30"/>
      <c r="D100" s="74"/>
      <c r="E100" s="74"/>
      <c r="G100" s="74"/>
      <c r="H100" s="74"/>
      <c r="I100" s="74"/>
      <c r="J100" s="74"/>
    </row>
    <row r="101" ht="15.75" customHeight="1">
      <c r="A101" s="75"/>
      <c r="B101" s="49"/>
      <c r="C101" s="74"/>
      <c r="D101" s="74"/>
      <c r="E101" s="74"/>
      <c r="G101" s="74"/>
      <c r="H101" s="74"/>
      <c r="I101" s="74"/>
      <c r="J101" s="74"/>
    </row>
    <row r="102" ht="15.75" customHeight="1">
      <c r="A102" s="75"/>
      <c r="B102" s="49"/>
      <c r="C102" s="74"/>
      <c r="D102" s="74"/>
      <c r="E102" s="74"/>
      <c r="G102" s="74"/>
      <c r="H102" s="74"/>
      <c r="I102" s="74"/>
      <c r="J102" s="74"/>
    </row>
    <row r="103" ht="15.75" customHeight="1">
      <c r="A103" s="75"/>
      <c r="B103" s="49"/>
      <c r="C103" s="74"/>
      <c r="D103" s="74"/>
      <c r="E103" s="74"/>
      <c r="G103" s="74"/>
      <c r="H103" s="74"/>
      <c r="I103" s="74"/>
      <c r="J103" s="74"/>
    </row>
    <row r="104" ht="15.75" customHeight="1">
      <c r="A104" s="75"/>
      <c r="B104" s="49"/>
      <c r="C104" s="74"/>
      <c r="D104" s="74"/>
      <c r="E104" s="74"/>
      <c r="G104" s="74"/>
      <c r="H104" s="74"/>
      <c r="I104" s="74"/>
      <c r="J104" s="74"/>
    </row>
    <row r="105" ht="15.75" customHeight="1">
      <c r="A105" s="75"/>
      <c r="B105" s="49"/>
      <c r="C105" s="74"/>
      <c r="D105" s="74"/>
      <c r="E105" s="74"/>
      <c r="G105" s="74"/>
      <c r="H105" s="74"/>
      <c r="I105" s="74"/>
      <c r="J105" s="74"/>
    </row>
    <row r="106" ht="15.75" customHeight="1">
      <c r="A106" s="75"/>
      <c r="B106" s="49"/>
      <c r="C106" s="74"/>
      <c r="D106" s="74"/>
      <c r="E106" s="74"/>
      <c r="G106" s="74"/>
      <c r="H106" s="74"/>
      <c r="I106" s="74"/>
      <c r="J106" s="74"/>
    </row>
    <row r="107" ht="15.75" customHeight="1">
      <c r="B107" s="49"/>
      <c r="C107" s="74"/>
      <c r="D107" s="74"/>
      <c r="E107" s="74"/>
      <c r="G107" s="74"/>
      <c r="H107" s="74"/>
      <c r="I107" s="74"/>
      <c r="J107" s="74"/>
    </row>
    <row r="108" ht="15.75" customHeight="1">
      <c r="B108" s="49"/>
      <c r="C108" s="74"/>
      <c r="D108" s="74"/>
      <c r="E108" s="74"/>
      <c r="G108" s="74"/>
      <c r="H108" s="74"/>
      <c r="I108" s="74"/>
      <c r="J108" s="74"/>
    </row>
    <row r="109" ht="15.75" customHeight="1">
      <c r="B109" s="49"/>
      <c r="C109" s="74"/>
      <c r="D109" s="74"/>
      <c r="E109" s="74"/>
      <c r="G109" s="74"/>
      <c r="H109" s="74"/>
      <c r="I109" s="74"/>
      <c r="J109" s="74"/>
    </row>
    <row r="110" ht="15.75" customHeight="1">
      <c r="B110" s="49"/>
      <c r="C110" s="74"/>
      <c r="D110" s="74"/>
      <c r="E110" s="74"/>
      <c r="G110" s="74"/>
      <c r="H110" s="74"/>
      <c r="I110" s="74"/>
      <c r="J110" s="74"/>
    </row>
    <row r="111" ht="15.75" customHeight="1">
      <c r="B111" s="49"/>
      <c r="C111" s="74"/>
      <c r="D111" s="74"/>
      <c r="E111" s="74"/>
      <c r="G111" s="74"/>
      <c r="H111" s="74"/>
      <c r="I111" s="74"/>
      <c r="J111" s="74"/>
    </row>
    <row r="112" ht="15.75" customHeight="1">
      <c r="B112" s="49"/>
      <c r="C112" s="74"/>
      <c r="D112" s="74"/>
      <c r="E112" s="74"/>
      <c r="G112" s="74"/>
      <c r="H112" s="74"/>
      <c r="I112" s="74"/>
      <c r="J112" s="74"/>
    </row>
    <row r="113" ht="15.75" customHeight="1">
      <c r="C113" s="74"/>
      <c r="D113" s="74"/>
      <c r="E113" s="74"/>
      <c r="G113" s="74"/>
      <c r="H113" s="74"/>
      <c r="I113" s="74"/>
      <c r="J113" s="74"/>
    </row>
    <row r="114" ht="15.75" customHeight="1">
      <c r="B114" s="75"/>
      <c r="C114" s="30"/>
      <c r="D114" s="74"/>
      <c r="E114" s="74"/>
      <c r="G114" s="74"/>
      <c r="H114" s="74"/>
      <c r="I114" s="74"/>
      <c r="J114" s="74"/>
    </row>
    <row r="115" ht="15.75" customHeight="1">
      <c r="A115" s="75"/>
      <c r="B115" s="75"/>
      <c r="C115" s="77"/>
      <c r="D115" s="74"/>
      <c r="E115" s="74"/>
      <c r="G115" s="74"/>
      <c r="H115" s="74"/>
      <c r="I115" s="74"/>
      <c r="J115" s="74"/>
    </row>
    <row r="116" ht="15.75" customHeight="1">
      <c r="A116" s="75"/>
      <c r="B116" s="75"/>
      <c r="C116" s="77"/>
      <c r="D116" s="74"/>
      <c r="E116" s="74"/>
      <c r="G116" s="74"/>
      <c r="H116" s="74"/>
      <c r="I116" s="74"/>
      <c r="J116" s="74"/>
    </row>
    <row r="117" ht="15.75" customHeight="1">
      <c r="A117" s="75"/>
      <c r="B117" s="75"/>
      <c r="C117" s="77"/>
      <c r="D117" s="74"/>
      <c r="E117" s="74"/>
      <c r="G117" s="74"/>
      <c r="H117" s="74"/>
      <c r="I117" s="74"/>
      <c r="J117" s="74"/>
    </row>
    <row r="118" ht="15.75" customHeight="1">
      <c r="A118" s="75"/>
      <c r="B118" s="75"/>
      <c r="C118" s="77"/>
      <c r="D118" s="74"/>
      <c r="E118" s="74"/>
      <c r="G118" s="74"/>
      <c r="H118" s="74"/>
      <c r="I118" s="74"/>
      <c r="J118" s="74"/>
    </row>
    <row r="119" ht="15.75" customHeight="1">
      <c r="A119" s="75"/>
      <c r="B119" s="75"/>
      <c r="C119" s="77"/>
      <c r="D119" s="74"/>
      <c r="E119" s="74"/>
      <c r="G119" s="74"/>
      <c r="H119" s="74"/>
      <c r="I119" s="74"/>
      <c r="J119" s="74"/>
    </row>
    <row r="120" ht="15.75" customHeight="1">
      <c r="A120" s="75"/>
      <c r="B120" s="75"/>
      <c r="C120" s="77"/>
      <c r="D120" s="74"/>
      <c r="E120" s="74"/>
      <c r="G120" s="74"/>
      <c r="H120" s="74"/>
      <c r="I120" s="74"/>
      <c r="J120" s="74"/>
    </row>
    <row r="121" ht="15.75" customHeight="1">
      <c r="B121" s="75"/>
      <c r="C121" s="77"/>
      <c r="D121" s="74"/>
      <c r="E121" s="74"/>
      <c r="G121" s="74"/>
      <c r="H121" s="74"/>
      <c r="I121" s="74"/>
      <c r="J121" s="74"/>
    </row>
    <row r="122" ht="15.75" customHeight="1">
      <c r="B122" s="49"/>
      <c r="C122" s="74"/>
      <c r="D122" s="74"/>
      <c r="E122" s="74"/>
      <c r="G122" s="74"/>
      <c r="H122" s="74"/>
      <c r="I122" s="74"/>
      <c r="J122" s="74"/>
    </row>
    <row r="123" ht="15.75" customHeight="1">
      <c r="B123" s="49"/>
      <c r="C123" s="74"/>
      <c r="D123" s="74"/>
      <c r="E123" s="74"/>
      <c r="G123" s="74"/>
      <c r="H123" s="74"/>
      <c r="I123" s="74"/>
      <c r="J123" s="74"/>
    </row>
    <row r="124" ht="15.75" customHeight="1">
      <c r="B124" s="49"/>
      <c r="C124" s="74"/>
      <c r="D124" s="74"/>
      <c r="E124" s="74"/>
      <c r="G124" s="74"/>
      <c r="H124" s="74"/>
      <c r="I124" s="74"/>
      <c r="J124" s="74"/>
    </row>
    <row r="125" ht="15.75" customHeight="1">
      <c r="B125" s="49"/>
      <c r="C125" s="74"/>
      <c r="D125" s="74"/>
      <c r="E125" s="74"/>
      <c r="G125" s="74"/>
      <c r="H125" s="74"/>
      <c r="I125" s="74"/>
      <c r="J125" s="74"/>
    </row>
    <row r="126" ht="15.75" customHeight="1">
      <c r="B126" s="49"/>
      <c r="C126" s="74"/>
      <c r="D126" s="74"/>
      <c r="E126" s="74"/>
      <c r="G126" s="74"/>
      <c r="H126" s="74"/>
      <c r="I126" s="74"/>
      <c r="J126" s="74"/>
    </row>
    <row r="127" ht="15.75" customHeight="1">
      <c r="C127" s="74"/>
      <c r="D127" s="74"/>
      <c r="E127" s="74"/>
      <c r="G127" s="74"/>
      <c r="H127" s="74"/>
      <c r="I127" s="74"/>
      <c r="J127" s="74"/>
    </row>
    <row r="128" ht="15.75" customHeight="1">
      <c r="B128" s="75"/>
      <c r="C128" s="30"/>
      <c r="D128" s="74"/>
      <c r="E128" s="74"/>
      <c r="G128" s="74"/>
      <c r="H128" s="74"/>
      <c r="I128" s="74"/>
      <c r="J128" s="74"/>
    </row>
    <row r="129" ht="15.75" customHeight="1">
      <c r="A129" s="75"/>
      <c r="B129" s="49"/>
      <c r="C129" s="77"/>
      <c r="D129" s="74"/>
      <c r="E129" s="74"/>
      <c r="G129" s="74"/>
      <c r="H129" s="74"/>
      <c r="I129" s="74"/>
      <c r="J129" s="74"/>
    </row>
    <row r="130" ht="15.75" customHeight="1">
      <c r="A130" s="75"/>
      <c r="B130" s="49"/>
      <c r="C130" s="77"/>
      <c r="D130" s="74"/>
      <c r="E130" s="74"/>
      <c r="G130" s="74"/>
      <c r="H130" s="74"/>
      <c r="I130" s="74"/>
      <c r="J130" s="74"/>
    </row>
    <row r="131" ht="15.75" customHeight="1">
      <c r="A131" s="75"/>
      <c r="B131" s="49"/>
      <c r="C131" s="77"/>
      <c r="D131" s="74"/>
      <c r="E131" s="74"/>
      <c r="G131" s="74"/>
      <c r="H131" s="74"/>
      <c r="I131" s="74"/>
      <c r="J131" s="74"/>
    </row>
    <row r="132" ht="15.75" customHeight="1">
      <c r="A132" s="75"/>
      <c r="B132" s="49"/>
      <c r="C132" s="77"/>
      <c r="D132" s="74"/>
      <c r="E132" s="74"/>
      <c r="G132" s="74"/>
      <c r="H132" s="74"/>
      <c r="I132" s="74"/>
      <c r="J132" s="74"/>
    </row>
    <row r="133" ht="15.75" customHeight="1">
      <c r="A133" s="75"/>
      <c r="B133" s="49"/>
      <c r="C133" s="77"/>
      <c r="D133" s="74"/>
      <c r="E133" s="74"/>
      <c r="G133" s="74"/>
      <c r="H133" s="74"/>
      <c r="I133" s="74"/>
      <c r="J133" s="74"/>
    </row>
    <row r="134" ht="15.75" customHeight="1">
      <c r="A134" s="75"/>
      <c r="B134" s="49"/>
      <c r="C134" s="77"/>
      <c r="D134" s="74"/>
      <c r="E134" s="74"/>
      <c r="G134" s="74"/>
      <c r="H134" s="74"/>
      <c r="I134" s="74"/>
      <c r="J134" s="74"/>
    </row>
    <row r="135" ht="15.75" customHeight="1">
      <c r="B135" s="49"/>
      <c r="C135" s="74"/>
      <c r="D135" s="74"/>
      <c r="E135" s="74"/>
      <c r="G135" s="74"/>
      <c r="H135" s="74"/>
      <c r="I135" s="74"/>
      <c r="J135" s="74"/>
    </row>
    <row r="136" ht="15.75" customHeight="1">
      <c r="B136" s="49"/>
      <c r="C136" s="74"/>
      <c r="D136" s="74"/>
      <c r="E136" s="74"/>
      <c r="G136" s="74"/>
      <c r="H136" s="74"/>
      <c r="I136" s="74"/>
      <c r="J136" s="74"/>
    </row>
    <row r="137" ht="15.75" customHeight="1">
      <c r="B137" s="49"/>
      <c r="C137" s="74"/>
      <c r="D137" s="74"/>
      <c r="E137" s="74"/>
      <c r="G137" s="74"/>
      <c r="H137" s="74"/>
      <c r="I137" s="74"/>
      <c r="J137" s="74"/>
    </row>
    <row r="138" ht="15.75" customHeight="1">
      <c r="B138" s="49"/>
      <c r="C138" s="74"/>
      <c r="D138" s="74"/>
      <c r="E138" s="74"/>
      <c r="G138" s="74"/>
      <c r="H138" s="74"/>
      <c r="I138" s="74"/>
      <c r="J138" s="74"/>
    </row>
    <row r="139" ht="15.75" customHeight="1">
      <c r="B139" s="49"/>
      <c r="C139" s="74"/>
      <c r="D139" s="74"/>
      <c r="E139" s="74"/>
      <c r="G139" s="74"/>
      <c r="H139" s="74"/>
      <c r="I139" s="74"/>
      <c r="J139" s="74"/>
    </row>
    <row r="140" ht="15.75" customHeight="1">
      <c r="B140" s="49"/>
      <c r="C140" s="74"/>
      <c r="D140" s="74"/>
      <c r="E140" s="74"/>
      <c r="G140" s="74"/>
      <c r="H140" s="74"/>
      <c r="I140" s="74"/>
      <c r="J140" s="74"/>
    </row>
    <row r="141" ht="15.75" customHeight="1">
      <c r="C141" s="74"/>
      <c r="D141" s="74"/>
      <c r="E141" s="74"/>
      <c r="G141" s="74"/>
      <c r="H141" s="74"/>
      <c r="I141" s="74"/>
      <c r="J141" s="74"/>
    </row>
    <row r="142" ht="15.75" customHeight="1">
      <c r="B142" s="75"/>
      <c r="C142" s="30"/>
      <c r="D142" s="74"/>
      <c r="E142" s="74"/>
      <c r="G142" s="74"/>
      <c r="H142" s="74"/>
      <c r="I142" s="74"/>
      <c r="J142" s="74"/>
    </row>
    <row r="143" ht="15.75" customHeight="1">
      <c r="A143" s="75"/>
      <c r="B143" s="49"/>
      <c r="C143" s="77"/>
      <c r="D143" s="74"/>
      <c r="E143" s="74"/>
      <c r="G143" s="74"/>
      <c r="H143" s="74"/>
      <c r="I143" s="74"/>
      <c r="J143" s="74"/>
    </row>
    <row r="144" ht="15.75" customHeight="1">
      <c r="A144" s="75"/>
      <c r="B144" s="49"/>
      <c r="C144" s="77"/>
      <c r="D144" s="74"/>
      <c r="E144" s="74"/>
      <c r="G144" s="74"/>
      <c r="H144" s="74"/>
      <c r="I144" s="74"/>
      <c r="J144" s="74"/>
    </row>
    <row r="145" ht="15.75" customHeight="1">
      <c r="A145" s="75"/>
      <c r="B145" s="49"/>
      <c r="C145" s="77"/>
      <c r="D145" s="74"/>
      <c r="E145" s="74"/>
      <c r="G145" s="74"/>
      <c r="H145" s="74"/>
      <c r="I145" s="74"/>
      <c r="J145" s="74"/>
    </row>
    <row r="146" ht="15.75" customHeight="1">
      <c r="A146" s="75"/>
      <c r="B146" s="49"/>
      <c r="C146" s="77"/>
      <c r="D146" s="74"/>
      <c r="E146" s="74"/>
      <c r="G146" s="74"/>
      <c r="H146" s="74"/>
      <c r="I146" s="74"/>
      <c r="J146" s="74"/>
    </row>
    <row r="147" ht="15.75" customHeight="1">
      <c r="A147" s="75"/>
      <c r="B147" s="49"/>
      <c r="C147" s="77"/>
      <c r="D147" s="74"/>
      <c r="E147" s="74"/>
      <c r="G147" s="74"/>
      <c r="H147" s="74"/>
      <c r="I147" s="74"/>
      <c r="J147" s="74"/>
    </row>
    <row r="148" ht="15.75" customHeight="1">
      <c r="A148" s="75"/>
      <c r="B148" s="49"/>
      <c r="C148" s="77"/>
      <c r="D148" s="74"/>
      <c r="E148" s="74"/>
      <c r="G148" s="74"/>
      <c r="H148" s="74"/>
      <c r="I148" s="74"/>
      <c r="J148" s="74"/>
    </row>
    <row r="149" ht="15.75" customHeight="1">
      <c r="B149" s="49"/>
      <c r="C149" s="74"/>
      <c r="D149" s="74"/>
      <c r="E149" s="74"/>
      <c r="G149" s="74"/>
      <c r="H149" s="74"/>
      <c r="I149" s="74"/>
      <c r="J149" s="74"/>
    </row>
    <row r="150" ht="15.75" customHeight="1">
      <c r="B150" s="49"/>
      <c r="C150" s="74"/>
      <c r="D150" s="74"/>
      <c r="E150" s="74"/>
      <c r="G150" s="74"/>
      <c r="H150" s="74"/>
      <c r="I150" s="74"/>
      <c r="J150" s="74"/>
    </row>
    <row r="151" ht="15.75" customHeight="1">
      <c r="B151" s="49"/>
      <c r="C151" s="74"/>
      <c r="D151" s="74"/>
      <c r="E151" s="74"/>
      <c r="G151" s="74"/>
      <c r="H151" s="74"/>
      <c r="I151" s="74"/>
      <c r="J151" s="74"/>
    </row>
    <row r="152" ht="15.75" customHeight="1">
      <c r="B152" s="49"/>
      <c r="C152" s="74"/>
      <c r="D152" s="74"/>
      <c r="E152" s="74"/>
      <c r="G152" s="74"/>
      <c r="H152" s="74"/>
      <c r="I152" s="74"/>
      <c r="J152" s="74"/>
    </row>
    <row r="153" ht="15.75" customHeight="1">
      <c r="B153" s="49"/>
      <c r="C153" s="74"/>
      <c r="D153" s="74"/>
      <c r="E153" s="74"/>
      <c r="G153" s="74"/>
      <c r="H153" s="74"/>
      <c r="I153" s="74"/>
      <c r="J153" s="74"/>
    </row>
    <row r="154" ht="15.75" customHeight="1">
      <c r="B154" s="49"/>
      <c r="C154" s="74"/>
      <c r="D154" s="74"/>
      <c r="E154" s="74"/>
      <c r="G154" s="74"/>
      <c r="H154" s="74"/>
      <c r="I154" s="74"/>
      <c r="J154" s="74"/>
    </row>
    <row r="155" ht="15.75" customHeight="1">
      <c r="C155" s="74"/>
      <c r="D155" s="74"/>
      <c r="E155" s="74"/>
      <c r="G155" s="74"/>
      <c r="H155" s="74"/>
      <c r="I155" s="74"/>
      <c r="J155" s="74"/>
    </row>
    <row r="156" ht="15.75" customHeight="1">
      <c r="B156" s="75"/>
      <c r="C156" s="30"/>
      <c r="D156" s="74"/>
      <c r="E156" s="74"/>
      <c r="G156" s="74"/>
      <c r="H156" s="74"/>
      <c r="I156" s="74"/>
      <c r="J156" s="74"/>
    </row>
    <row r="157" ht="15.75" customHeight="1">
      <c r="A157" s="75"/>
      <c r="B157" s="49"/>
      <c r="C157" s="77"/>
      <c r="D157" s="74"/>
      <c r="E157" s="74"/>
      <c r="G157" s="74"/>
      <c r="H157" s="74"/>
      <c r="I157" s="74"/>
      <c r="J157" s="74"/>
    </row>
    <row r="158" ht="15.75" customHeight="1">
      <c r="A158" s="75"/>
      <c r="B158" s="49"/>
      <c r="C158" s="77"/>
      <c r="D158" s="74"/>
      <c r="E158" s="74"/>
      <c r="G158" s="74"/>
      <c r="H158" s="74"/>
      <c r="I158" s="74"/>
      <c r="J158" s="74"/>
    </row>
    <row r="159" ht="15.75" customHeight="1">
      <c r="A159" s="75"/>
      <c r="B159" s="49"/>
      <c r="C159" s="77"/>
      <c r="D159" s="74"/>
      <c r="E159" s="74"/>
      <c r="G159" s="74"/>
      <c r="H159" s="74"/>
      <c r="I159" s="74"/>
      <c r="J159" s="74"/>
    </row>
    <row r="160" ht="15.75" customHeight="1">
      <c r="A160" s="75"/>
      <c r="B160" s="49"/>
      <c r="C160" s="77"/>
      <c r="D160" s="74"/>
      <c r="E160" s="74"/>
      <c r="G160" s="74"/>
      <c r="H160" s="74"/>
      <c r="I160" s="74"/>
      <c r="J160" s="74"/>
    </row>
    <row r="161" ht="15.75" customHeight="1">
      <c r="A161" s="75"/>
      <c r="B161" s="49"/>
      <c r="C161" s="77"/>
      <c r="D161" s="74"/>
      <c r="E161" s="74"/>
      <c r="G161" s="74"/>
      <c r="H161" s="74"/>
      <c r="I161" s="74"/>
      <c r="J161" s="74"/>
    </row>
    <row r="162" ht="15.75" customHeight="1">
      <c r="A162" s="75"/>
      <c r="B162" s="49"/>
      <c r="C162" s="77"/>
      <c r="D162" s="74"/>
      <c r="E162" s="74"/>
      <c r="G162" s="74"/>
      <c r="H162" s="74"/>
      <c r="I162" s="74"/>
      <c r="J162" s="74"/>
    </row>
    <row r="163" ht="15.75" customHeight="1">
      <c r="A163" s="75"/>
      <c r="B163" s="49"/>
      <c r="C163" s="74"/>
      <c r="D163" s="74"/>
      <c r="E163" s="74"/>
      <c r="G163" s="74"/>
      <c r="H163" s="74"/>
      <c r="I163" s="74"/>
      <c r="J163" s="74"/>
    </row>
    <row r="164" ht="15.75" customHeight="1">
      <c r="B164" s="49"/>
      <c r="C164" s="74"/>
      <c r="D164" s="74"/>
      <c r="E164" s="74"/>
      <c r="G164" s="74"/>
      <c r="H164" s="74"/>
      <c r="I164" s="74"/>
      <c r="J164" s="74"/>
    </row>
    <row r="165" ht="15.75" customHeight="1">
      <c r="B165" s="49"/>
      <c r="C165" s="74"/>
      <c r="D165" s="74"/>
      <c r="E165" s="74"/>
      <c r="G165" s="74"/>
      <c r="H165" s="74"/>
      <c r="I165" s="74"/>
      <c r="J165" s="74"/>
    </row>
    <row r="166" ht="15.75" customHeight="1">
      <c r="B166" s="49"/>
      <c r="C166" s="74"/>
      <c r="D166" s="74"/>
      <c r="E166" s="74"/>
      <c r="G166" s="74"/>
      <c r="H166" s="74"/>
      <c r="I166" s="74"/>
      <c r="J166" s="74"/>
    </row>
    <row r="167" ht="15.75" customHeight="1">
      <c r="B167" s="49"/>
      <c r="C167" s="74"/>
      <c r="D167" s="74"/>
      <c r="E167" s="74"/>
      <c r="G167" s="74"/>
      <c r="H167" s="74"/>
      <c r="I167" s="74"/>
      <c r="J167" s="74"/>
    </row>
    <row r="168" ht="15.75" customHeight="1">
      <c r="B168" s="49"/>
      <c r="C168" s="74"/>
      <c r="D168" s="74"/>
      <c r="E168" s="74"/>
      <c r="G168" s="74"/>
      <c r="H168" s="74"/>
      <c r="I168" s="74"/>
      <c r="J168" s="74"/>
    </row>
    <row r="169" ht="15.75" customHeight="1">
      <c r="C169" s="74"/>
      <c r="D169" s="74"/>
      <c r="E169" s="74"/>
      <c r="G169" s="74"/>
      <c r="H169" s="74"/>
      <c r="I169" s="74"/>
      <c r="J169" s="74"/>
    </row>
    <row r="170" ht="15.75" customHeight="1">
      <c r="B170" s="75"/>
      <c r="C170" s="30"/>
      <c r="D170" s="74"/>
      <c r="E170" s="74"/>
      <c r="G170" s="74"/>
      <c r="H170" s="74"/>
      <c r="I170" s="74"/>
      <c r="J170" s="74"/>
    </row>
    <row r="171" ht="15.75" customHeight="1">
      <c r="A171" s="75"/>
      <c r="B171" s="49"/>
      <c r="C171" s="74"/>
      <c r="D171" s="74"/>
      <c r="E171" s="74"/>
      <c r="G171" s="74"/>
      <c r="H171" s="74"/>
      <c r="I171" s="74"/>
      <c r="J171" s="74"/>
    </row>
    <row r="172" ht="15.75" customHeight="1">
      <c r="A172" s="75"/>
      <c r="B172" s="49"/>
      <c r="C172" s="74"/>
      <c r="D172" s="74"/>
      <c r="E172" s="74"/>
      <c r="G172" s="74"/>
      <c r="H172" s="74"/>
      <c r="I172" s="74"/>
      <c r="J172" s="74"/>
    </row>
    <row r="173" ht="15.75" customHeight="1">
      <c r="A173" s="75"/>
      <c r="B173" s="49"/>
      <c r="C173" s="74"/>
      <c r="D173" s="74"/>
      <c r="E173" s="74"/>
      <c r="G173" s="74"/>
      <c r="H173" s="74"/>
      <c r="I173" s="74"/>
      <c r="J173" s="74"/>
    </row>
    <row r="174" ht="15.75" customHeight="1">
      <c r="A174" s="75"/>
      <c r="B174" s="49"/>
      <c r="C174" s="74"/>
      <c r="D174" s="74"/>
      <c r="E174" s="74"/>
      <c r="G174" s="74"/>
      <c r="H174" s="74"/>
      <c r="I174" s="74"/>
      <c r="J174" s="74"/>
    </row>
    <row r="175" ht="15.75" customHeight="1">
      <c r="A175" s="75"/>
      <c r="B175" s="49"/>
      <c r="C175" s="74"/>
      <c r="D175" s="74"/>
      <c r="E175" s="74"/>
      <c r="G175" s="74"/>
      <c r="H175" s="74"/>
      <c r="I175" s="74"/>
      <c r="J175" s="74"/>
    </row>
    <row r="176" ht="15.75" customHeight="1">
      <c r="A176" s="75"/>
      <c r="B176" s="49"/>
      <c r="C176" s="74"/>
      <c r="D176" s="74"/>
      <c r="E176" s="74"/>
      <c r="G176" s="74"/>
      <c r="H176" s="74"/>
      <c r="I176" s="74"/>
      <c r="J176" s="74"/>
    </row>
    <row r="177" ht="15.75" customHeight="1">
      <c r="A177" s="75"/>
      <c r="B177" s="49"/>
      <c r="C177" s="74"/>
      <c r="D177" s="74"/>
      <c r="E177" s="74"/>
      <c r="G177" s="74"/>
      <c r="H177" s="74"/>
      <c r="I177" s="74"/>
      <c r="J177" s="74"/>
    </row>
    <row r="178" ht="15.75" customHeight="1">
      <c r="B178" s="49"/>
      <c r="C178" s="74"/>
      <c r="D178" s="74"/>
      <c r="E178" s="74"/>
      <c r="G178" s="74"/>
      <c r="H178" s="74"/>
      <c r="I178" s="74"/>
      <c r="J178" s="74"/>
    </row>
    <row r="179" ht="15.75" customHeight="1">
      <c r="B179" s="49"/>
      <c r="C179" s="74"/>
      <c r="D179" s="74"/>
      <c r="E179" s="74"/>
      <c r="G179" s="74"/>
      <c r="H179" s="74"/>
      <c r="I179" s="74"/>
      <c r="J179" s="74"/>
    </row>
    <row r="180" ht="15.75" customHeight="1">
      <c r="B180" s="49"/>
      <c r="C180" s="74"/>
      <c r="D180" s="74"/>
      <c r="E180" s="74"/>
      <c r="G180" s="74"/>
      <c r="H180" s="74"/>
      <c r="I180" s="74"/>
      <c r="J180" s="74"/>
    </row>
    <row r="181" ht="15.75" customHeight="1">
      <c r="B181" s="49"/>
      <c r="C181" s="74"/>
      <c r="D181" s="74"/>
      <c r="E181" s="74"/>
      <c r="G181" s="74"/>
      <c r="H181" s="74"/>
      <c r="I181" s="74"/>
      <c r="J181" s="74"/>
    </row>
    <row r="182" ht="15.75" customHeight="1">
      <c r="B182" s="49"/>
      <c r="C182" s="74"/>
      <c r="D182" s="74"/>
      <c r="E182" s="74"/>
      <c r="G182" s="74"/>
      <c r="H182" s="74"/>
      <c r="I182" s="74"/>
      <c r="J182" s="74"/>
    </row>
    <row r="183" ht="15.75" customHeight="1">
      <c r="C183" s="74"/>
      <c r="D183" s="74"/>
      <c r="E183" s="74"/>
      <c r="G183" s="74"/>
      <c r="H183" s="74"/>
      <c r="I183" s="74"/>
      <c r="J183" s="74"/>
    </row>
    <row r="184" ht="15.75" customHeight="1">
      <c r="B184" s="75"/>
      <c r="C184" s="30"/>
      <c r="D184" s="74"/>
      <c r="E184" s="74"/>
      <c r="G184" s="74"/>
      <c r="H184" s="74"/>
      <c r="I184" s="74"/>
      <c r="J184" s="74"/>
    </row>
    <row r="185" ht="15.75" customHeight="1">
      <c r="A185" s="75"/>
      <c r="B185" s="49"/>
      <c r="C185" s="74"/>
      <c r="D185" s="74"/>
      <c r="E185" s="74"/>
      <c r="G185" s="74"/>
      <c r="H185" s="74"/>
      <c r="I185" s="74"/>
      <c r="J185" s="74"/>
    </row>
    <row r="186" ht="15.75" customHeight="1">
      <c r="A186" s="75"/>
      <c r="B186" s="49"/>
      <c r="C186" s="74"/>
      <c r="D186" s="74"/>
      <c r="E186" s="74"/>
      <c r="G186" s="74"/>
      <c r="H186" s="74"/>
      <c r="I186" s="74"/>
      <c r="J186" s="74"/>
    </row>
    <row r="187" ht="15.75" customHeight="1">
      <c r="A187" s="75"/>
      <c r="B187" s="49"/>
      <c r="C187" s="74"/>
      <c r="D187" s="74"/>
      <c r="E187" s="74"/>
      <c r="G187" s="74"/>
      <c r="H187" s="74"/>
      <c r="I187" s="74"/>
      <c r="J187" s="74"/>
    </row>
    <row r="188" ht="15.75" customHeight="1">
      <c r="A188" s="75"/>
      <c r="B188" s="49"/>
      <c r="C188" s="74"/>
      <c r="D188" s="74"/>
      <c r="E188" s="74"/>
      <c r="G188" s="74"/>
      <c r="H188" s="74"/>
      <c r="I188" s="74"/>
      <c r="J188" s="74"/>
    </row>
    <row r="189" ht="15.75" customHeight="1">
      <c r="A189" s="75"/>
      <c r="B189" s="49"/>
      <c r="C189" s="74"/>
      <c r="D189" s="74"/>
      <c r="E189" s="74"/>
      <c r="G189" s="74"/>
      <c r="H189" s="74"/>
      <c r="I189" s="74"/>
      <c r="J189" s="74"/>
    </row>
    <row r="190" ht="15.75" customHeight="1">
      <c r="A190" s="75"/>
      <c r="B190" s="49"/>
      <c r="C190" s="74"/>
      <c r="D190" s="74"/>
      <c r="E190" s="74"/>
      <c r="G190" s="74"/>
      <c r="H190" s="74"/>
      <c r="I190" s="74"/>
      <c r="J190" s="74"/>
    </row>
    <row r="191" ht="15.75" customHeight="1">
      <c r="B191" s="49"/>
      <c r="C191" s="74"/>
      <c r="D191" s="74"/>
      <c r="E191" s="74"/>
      <c r="G191" s="74"/>
      <c r="H191" s="74"/>
      <c r="I191" s="74"/>
      <c r="J191" s="74"/>
    </row>
    <row r="192" ht="15.75" customHeight="1">
      <c r="B192" s="49"/>
      <c r="C192" s="74"/>
      <c r="D192" s="74"/>
      <c r="E192" s="74"/>
      <c r="G192" s="74"/>
      <c r="H192" s="74"/>
      <c r="I192" s="74"/>
      <c r="J192" s="74"/>
    </row>
    <row r="193" ht="15.75" customHeight="1">
      <c r="B193" s="49"/>
      <c r="C193" s="74"/>
      <c r="D193" s="74"/>
      <c r="E193" s="74"/>
      <c r="G193" s="74"/>
      <c r="H193" s="74"/>
      <c r="I193" s="74"/>
      <c r="J193" s="74"/>
    </row>
    <row r="194" ht="15.75" customHeight="1">
      <c r="B194" s="49"/>
      <c r="C194" s="74"/>
      <c r="D194" s="74"/>
      <c r="E194" s="74"/>
      <c r="G194" s="74"/>
      <c r="H194" s="74"/>
      <c r="I194" s="74"/>
      <c r="J194" s="74"/>
    </row>
    <row r="195" ht="15.75" customHeight="1">
      <c r="B195" s="49"/>
      <c r="C195" s="74"/>
      <c r="D195" s="74"/>
      <c r="E195" s="74"/>
      <c r="G195" s="74"/>
      <c r="H195" s="74"/>
      <c r="I195" s="74"/>
      <c r="J195" s="74"/>
    </row>
    <row r="196" ht="15.75" customHeight="1">
      <c r="B196" s="49"/>
      <c r="C196" s="74"/>
      <c r="D196" s="74"/>
      <c r="E196" s="74"/>
      <c r="G196" s="74"/>
      <c r="H196" s="74"/>
      <c r="I196" s="74"/>
      <c r="J196" s="74"/>
    </row>
    <row r="197" ht="15.75" customHeight="1">
      <c r="C197" s="74"/>
      <c r="D197" s="74"/>
      <c r="E197" s="74"/>
      <c r="G197" s="74"/>
      <c r="H197" s="74"/>
      <c r="I197" s="74"/>
      <c r="J197" s="74"/>
    </row>
    <row r="198" ht="15.75" customHeight="1">
      <c r="B198" s="75"/>
      <c r="C198" s="30"/>
      <c r="D198" s="74"/>
      <c r="E198" s="74"/>
      <c r="G198" s="74"/>
      <c r="H198" s="74"/>
      <c r="I198" s="74"/>
      <c r="J198" s="74"/>
    </row>
    <row r="199" ht="15.75" customHeight="1">
      <c r="A199" s="75"/>
      <c r="B199" s="49"/>
      <c r="C199" s="74"/>
      <c r="D199" s="74"/>
      <c r="E199" s="74"/>
      <c r="G199" s="74"/>
      <c r="H199" s="74"/>
      <c r="I199" s="74"/>
      <c r="J199" s="74"/>
    </row>
    <row r="200" ht="15.75" customHeight="1">
      <c r="A200" s="75"/>
      <c r="B200" s="49"/>
      <c r="C200" s="74"/>
      <c r="D200" s="74"/>
      <c r="E200" s="74"/>
      <c r="G200" s="74"/>
      <c r="H200" s="74"/>
      <c r="I200" s="74"/>
      <c r="J200" s="74"/>
    </row>
    <row r="201" ht="15.75" customHeight="1">
      <c r="A201" s="75"/>
      <c r="B201" s="49"/>
      <c r="C201" s="74"/>
      <c r="D201" s="74"/>
      <c r="E201" s="74"/>
      <c r="G201" s="74"/>
      <c r="H201" s="74"/>
      <c r="I201" s="74"/>
      <c r="J201" s="74"/>
    </row>
    <row r="202" ht="15.75" customHeight="1">
      <c r="A202" s="75"/>
      <c r="B202" s="49"/>
      <c r="C202" s="74"/>
      <c r="D202" s="74"/>
      <c r="E202" s="74"/>
      <c r="G202" s="74"/>
      <c r="H202" s="74"/>
      <c r="I202" s="74"/>
      <c r="J202" s="74"/>
    </row>
    <row r="203" ht="15.75" customHeight="1">
      <c r="A203" s="75"/>
      <c r="B203" s="49"/>
      <c r="C203" s="74"/>
      <c r="D203" s="74"/>
      <c r="E203" s="74"/>
      <c r="G203" s="74"/>
      <c r="H203" s="74"/>
      <c r="I203" s="74"/>
      <c r="J203" s="74"/>
    </row>
    <row r="204" ht="15.75" customHeight="1">
      <c r="A204" s="75"/>
      <c r="B204" s="49"/>
      <c r="C204" s="74"/>
      <c r="D204" s="74"/>
      <c r="E204" s="74"/>
      <c r="G204" s="74"/>
      <c r="H204" s="74"/>
      <c r="I204" s="74"/>
      <c r="J204" s="74"/>
    </row>
    <row r="205" ht="15.75" customHeight="1">
      <c r="B205" s="49"/>
      <c r="C205" s="74"/>
      <c r="D205" s="74"/>
      <c r="E205" s="74"/>
      <c r="G205" s="74"/>
      <c r="H205" s="74"/>
      <c r="I205" s="74"/>
      <c r="J205" s="74"/>
    </row>
    <row r="206" ht="15.75" customHeight="1">
      <c r="B206" s="49"/>
      <c r="C206" s="74"/>
      <c r="D206" s="74"/>
      <c r="E206" s="74"/>
      <c r="G206" s="74"/>
      <c r="H206" s="74"/>
      <c r="I206" s="74"/>
      <c r="J206" s="74"/>
    </row>
    <row r="207" ht="15.75" customHeight="1">
      <c r="B207" s="49"/>
      <c r="C207" s="74"/>
      <c r="D207" s="74"/>
      <c r="E207" s="74"/>
      <c r="G207" s="74"/>
      <c r="H207" s="74"/>
      <c r="I207" s="74"/>
      <c r="J207" s="74"/>
    </row>
    <row r="208" ht="15.75" customHeight="1">
      <c r="B208" s="49"/>
      <c r="C208" s="74"/>
      <c r="D208" s="74"/>
      <c r="E208" s="74"/>
      <c r="G208" s="74"/>
      <c r="H208" s="74"/>
      <c r="I208" s="74"/>
      <c r="J208" s="74"/>
    </row>
    <row r="209" ht="15.75" customHeight="1">
      <c r="B209" s="49"/>
      <c r="C209" s="74"/>
      <c r="D209" s="74"/>
      <c r="E209" s="74"/>
      <c r="G209" s="74"/>
      <c r="H209" s="74"/>
      <c r="I209" s="74"/>
      <c r="J209" s="74"/>
    </row>
    <row r="210" ht="15.75" customHeight="1">
      <c r="B210" s="49"/>
      <c r="C210" s="74"/>
      <c r="D210" s="74"/>
      <c r="E210" s="74"/>
      <c r="G210" s="74"/>
      <c r="H210" s="74"/>
      <c r="I210" s="74"/>
      <c r="J210" s="74"/>
    </row>
    <row r="211" ht="15.75" customHeight="1">
      <c r="C211" s="30"/>
      <c r="D211" s="74"/>
      <c r="E211" s="74"/>
      <c r="G211" s="74"/>
      <c r="H211" s="74"/>
      <c r="I211" s="74"/>
      <c r="J211" s="74"/>
    </row>
    <row r="212" ht="15.75" customHeight="1">
      <c r="B212" s="75"/>
      <c r="C212" s="30"/>
      <c r="D212" s="74"/>
      <c r="E212" s="74"/>
      <c r="G212" s="74"/>
      <c r="H212" s="74"/>
      <c r="I212" s="74"/>
      <c r="J212" s="74"/>
    </row>
    <row r="213" ht="15.75" customHeight="1">
      <c r="C213" s="30"/>
      <c r="D213" s="74"/>
      <c r="E213" s="74"/>
      <c r="G213" s="74"/>
      <c r="H213" s="74"/>
      <c r="I213" s="74"/>
      <c r="J213" s="74"/>
    </row>
    <row r="214" ht="15.75" customHeight="1">
      <c r="C214" s="30"/>
      <c r="D214" s="74"/>
      <c r="E214" s="74"/>
      <c r="G214" s="74"/>
      <c r="H214" s="74"/>
      <c r="I214" s="74"/>
      <c r="J214" s="74"/>
    </row>
    <row r="215" ht="15.75" customHeight="1">
      <c r="C215" s="30"/>
      <c r="D215" s="74"/>
      <c r="E215" s="74"/>
      <c r="G215" s="74"/>
      <c r="H215" s="74"/>
      <c r="I215" s="74"/>
      <c r="J215" s="74"/>
    </row>
    <row r="216" ht="15.75" customHeight="1">
      <c r="C216" s="30"/>
      <c r="D216" s="74"/>
      <c r="E216" s="74"/>
      <c r="G216" s="74"/>
      <c r="H216" s="74"/>
      <c r="I216" s="74"/>
      <c r="J216" s="74"/>
    </row>
    <row r="217" ht="15.75" customHeight="1">
      <c r="C217" s="30"/>
      <c r="D217" s="74"/>
      <c r="E217" s="74"/>
      <c r="G217" s="74"/>
      <c r="H217" s="74"/>
      <c r="I217" s="74"/>
      <c r="J217" s="74"/>
    </row>
    <row r="218" ht="15.75" customHeight="1">
      <c r="C218" s="30"/>
      <c r="D218" s="74"/>
      <c r="E218" s="74"/>
      <c r="G218" s="74"/>
      <c r="H218" s="74"/>
      <c r="I218" s="74"/>
      <c r="J218" s="74"/>
    </row>
    <row r="219" ht="15.75" customHeight="1">
      <c r="C219" s="30"/>
      <c r="D219" s="74"/>
      <c r="E219" s="74"/>
      <c r="G219" s="74"/>
      <c r="H219" s="74"/>
      <c r="I219" s="74"/>
      <c r="J219" s="74"/>
    </row>
    <row r="220" ht="15.75" customHeight="1">
      <c r="C220" s="30"/>
      <c r="D220" s="74"/>
      <c r="E220" s="74"/>
      <c r="G220" s="74"/>
      <c r="H220" s="74"/>
      <c r="I220" s="74"/>
      <c r="J220" s="74"/>
    </row>
    <row r="221" ht="15.75" customHeight="1">
      <c r="C221" s="30"/>
      <c r="D221" s="74"/>
      <c r="E221" s="74"/>
      <c r="G221" s="74"/>
      <c r="H221" s="74"/>
      <c r="I221" s="74"/>
      <c r="J221" s="74"/>
    </row>
    <row r="222" ht="15.75" customHeight="1">
      <c r="C222" s="30"/>
      <c r="D222" s="74"/>
      <c r="E222" s="74"/>
      <c r="G222" s="74"/>
      <c r="H222" s="74"/>
      <c r="I222" s="74"/>
      <c r="J222" s="74"/>
    </row>
    <row r="223" ht="15.75" customHeight="1">
      <c r="C223" s="30"/>
      <c r="D223" s="74"/>
      <c r="E223" s="74"/>
      <c r="G223" s="74"/>
      <c r="H223" s="74"/>
      <c r="I223" s="74"/>
      <c r="J223" s="74"/>
    </row>
    <row r="224" ht="15.75" customHeight="1">
      <c r="C224" s="30"/>
      <c r="D224" s="74"/>
      <c r="E224" s="74"/>
      <c r="G224" s="74"/>
      <c r="H224" s="74"/>
      <c r="I224" s="74"/>
      <c r="J224" s="74"/>
    </row>
    <row r="225" ht="15.75" customHeight="1">
      <c r="C225" s="74"/>
      <c r="D225" s="74"/>
      <c r="E225" s="74"/>
      <c r="G225" s="74"/>
      <c r="H225" s="74"/>
      <c r="I225" s="74"/>
      <c r="J225" s="74"/>
    </row>
    <row r="226" ht="15.75" customHeight="1">
      <c r="C226" s="30"/>
      <c r="D226" s="74"/>
      <c r="E226" s="74"/>
      <c r="G226" s="74"/>
      <c r="H226" s="74"/>
      <c r="I226" s="74"/>
      <c r="J226" s="74"/>
    </row>
    <row r="227" ht="15.75" customHeight="1">
      <c r="C227" s="30"/>
      <c r="D227" s="74"/>
      <c r="E227" s="74"/>
      <c r="G227" s="74"/>
      <c r="H227" s="74"/>
      <c r="I227" s="74"/>
      <c r="J227" s="74"/>
    </row>
    <row r="228" ht="15.75" customHeight="1">
      <c r="C228" s="30"/>
      <c r="D228" s="74"/>
      <c r="E228" s="74"/>
      <c r="G228" s="74"/>
      <c r="H228" s="74"/>
      <c r="I228" s="74"/>
      <c r="J228" s="74"/>
    </row>
    <row r="229" ht="15.75" customHeight="1">
      <c r="C229" s="30"/>
      <c r="D229" s="74"/>
      <c r="E229" s="74"/>
      <c r="G229" s="74"/>
      <c r="H229" s="74"/>
      <c r="I229" s="74"/>
      <c r="J229" s="74"/>
    </row>
    <row r="230" ht="15.75" customHeight="1">
      <c r="C230" s="30"/>
      <c r="D230" s="74"/>
      <c r="E230" s="74"/>
      <c r="G230" s="74"/>
      <c r="H230" s="74"/>
      <c r="I230" s="74"/>
      <c r="J230" s="74"/>
    </row>
    <row r="231" ht="15.75" customHeight="1">
      <c r="C231" s="30"/>
      <c r="D231" s="74"/>
      <c r="E231" s="74"/>
      <c r="G231" s="74"/>
      <c r="H231" s="74"/>
      <c r="I231" s="74"/>
      <c r="J231" s="74"/>
    </row>
    <row r="232" ht="15.75" customHeight="1">
      <c r="C232" s="30"/>
      <c r="D232" s="74"/>
      <c r="E232" s="74"/>
      <c r="G232" s="74"/>
      <c r="H232" s="74"/>
      <c r="I232" s="74"/>
      <c r="J232" s="74"/>
    </row>
    <row r="233" ht="15.75" customHeight="1">
      <c r="C233" s="30"/>
      <c r="D233" s="74"/>
      <c r="E233" s="74"/>
      <c r="G233" s="74"/>
      <c r="H233" s="74"/>
      <c r="I233" s="74"/>
      <c r="J233" s="74"/>
    </row>
    <row r="234" ht="15.75" customHeight="1">
      <c r="C234" s="30"/>
      <c r="D234" s="74"/>
      <c r="E234" s="74"/>
      <c r="G234" s="74"/>
      <c r="H234" s="74"/>
      <c r="I234" s="74"/>
      <c r="J234" s="74"/>
    </row>
    <row r="235" ht="15.75" customHeight="1">
      <c r="C235" s="30"/>
      <c r="D235" s="74"/>
      <c r="E235" s="74"/>
      <c r="G235" s="74"/>
      <c r="H235" s="74"/>
      <c r="I235" s="74"/>
      <c r="J235" s="74"/>
    </row>
    <row r="236" ht="15.75" customHeight="1">
      <c r="C236" s="30"/>
      <c r="D236" s="74"/>
      <c r="E236" s="74"/>
      <c r="G236" s="74"/>
      <c r="H236" s="74"/>
      <c r="I236" s="74"/>
      <c r="J236" s="74"/>
    </row>
    <row r="237" ht="15.75" customHeight="1">
      <c r="C237" s="30"/>
      <c r="D237" s="74"/>
      <c r="E237" s="74"/>
      <c r="G237" s="74"/>
      <c r="H237" s="74"/>
      <c r="I237" s="74"/>
      <c r="J237" s="74"/>
    </row>
    <row r="238" ht="15.75" customHeight="1">
      <c r="C238" s="30"/>
      <c r="D238" s="74"/>
      <c r="E238" s="74"/>
      <c r="G238" s="74"/>
      <c r="H238" s="74"/>
      <c r="I238" s="74"/>
      <c r="J238" s="74"/>
    </row>
    <row r="239" ht="15.75" customHeight="1">
      <c r="C239" s="74"/>
      <c r="D239" s="74"/>
      <c r="E239" s="74"/>
      <c r="G239" s="74"/>
      <c r="H239" s="74"/>
      <c r="I239" s="74"/>
      <c r="J239" s="74"/>
    </row>
    <row r="240" ht="15.75" customHeight="1">
      <c r="C240" s="74"/>
      <c r="D240" s="74"/>
      <c r="E240" s="74"/>
      <c r="G240" s="74"/>
      <c r="H240" s="74"/>
      <c r="I240" s="74"/>
      <c r="J240" s="74"/>
    </row>
    <row r="241" ht="15.75" customHeight="1">
      <c r="C241" s="74"/>
      <c r="D241" s="74"/>
      <c r="E241" s="74"/>
      <c r="G241" s="74"/>
      <c r="H241" s="74"/>
      <c r="I241" s="74"/>
      <c r="J241" s="74"/>
    </row>
    <row r="242" ht="15.75" customHeight="1">
      <c r="C242" s="74"/>
      <c r="D242" s="74"/>
      <c r="E242" s="74"/>
      <c r="G242" s="74"/>
      <c r="H242" s="74"/>
      <c r="I242" s="74"/>
      <c r="J242" s="74"/>
    </row>
    <row r="243" ht="15.75" customHeight="1">
      <c r="C243" s="74"/>
      <c r="D243" s="74"/>
      <c r="E243" s="74"/>
      <c r="G243" s="74"/>
      <c r="H243" s="74"/>
      <c r="I243" s="74"/>
      <c r="J243" s="74"/>
    </row>
    <row r="244" ht="15.75" customHeight="1">
      <c r="C244" s="74"/>
      <c r="D244" s="74"/>
      <c r="E244" s="74"/>
      <c r="G244" s="74"/>
      <c r="H244" s="74"/>
      <c r="I244" s="74"/>
      <c r="J244" s="74"/>
    </row>
    <row r="245" ht="15.75" customHeight="1">
      <c r="C245" s="74"/>
      <c r="D245" s="74"/>
      <c r="E245" s="74"/>
      <c r="G245" s="74"/>
      <c r="H245" s="74"/>
      <c r="I245" s="74"/>
      <c r="J245" s="74"/>
    </row>
    <row r="246" ht="15.75" customHeight="1">
      <c r="C246" s="74"/>
      <c r="D246" s="74"/>
      <c r="E246" s="74"/>
      <c r="G246" s="74"/>
      <c r="H246" s="74"/>
      <c r="I246" s="74"/>
      <c r="J246" s="74"/>
    </row>
    <row r="247" ht="15.75" customHeight="1">
      <c r="C247" s="74"/>
      <c r="D247" s="74"/>
      <c r="E247" s="74"/>
      <c r="G247" s="74"/>
      <c r="H247" s="74"/>
      <c r="I247" s="74"/>
      <c r="J247" s="74"/>
    </row>
    <row r="248" ht="15.75" customHeight="1">
      <c r="C248" s="74"/>
      <c r="D248" s="74"/>
      <c r="E248" s="74"/>
      <c r="G248" s="74"/>
      <c r="H248" s="74"/>
      <c r="I248" s="74"/>
      <c r="J248" s="74"/>
    </row>
    <row r="249" ht="15.75" customHeight="1">
      <c r="C249" s="74"/>
      <c r="D249" s="74"/>
      <c r="E249" s="74"/>
      <c r="G249" s="74"/>
      <c r="H249" s="74"/>
      <c r="I249" s="74"/>
      <c r="J249" s="74"/>
    </row>
    <row r="250" ht="15.75" customHeight="1">
      <c r="C250" s="74"/>
      <c r="D250" s="74"/>
      <c r="E250" s="74"/>
      <c r="G250" s="74"/>
      <c r="H250" s="74"/>
      <c r="I250" s="74"/>
      <c r="J250" s="74"/>
    </row>
    <row r="251" ht="15.75" customHeight="1">
      <c r="C251" s="74"/>
      <c r="D251" s="74"/>
      <c r="E251" s="74"/>
      <c r="G251" s="74"/>
      <c r="H251" s="74"/>
      <c r="I251" s="74"/>
      <c r="J251" s="74"/>
    </row>
    <row r="252" ht="15.75" customHeight="1">
      <c r="C252" s="74"/>
      <c r="D252" s="74"/>
      <c r="E252" s="74"/>
      <c r="G252" s="74"/>
      <c r="H252" s="74"/>
      <c r="I252" s="74"/>
      <c r="J252" s="74"/>
    </row>
    <row r="253" ht="15.75" customHeight="1">
      <c r="C253" s="74"/>
      <c r="D253" s="74"/>
      <c r="E253" s="74"/>
      <c r="G253" s="74"/>
      <c r="H253" s="74"/>
      <c r="I253" s="74"/>
      <c r="J253" s="74"/>
    </row>
    <row r="254" ht="15.75" customHeight="1">
      <c r="C254" s="74"/>
      <c r="D254" s="74"/>
      <c r="E254" s="74"/>
      <c r="G254" s="74"/>
      <c r="H254" s="74"/>
      <c r="I254" s="74"/>
      <c r="J254" s="74"/>
    </row>
    <row r="255" ht="15.75" customHeight="1">
      <c r="C255" s="74"/>
      <c r="D255" s="74"/>
      <c r="E255" s="74"/>
      <c r="G255" s="74"/>
      <c r="H255" s="74"/>
      <c r="I255" s="74"/>
      <c r="J255" s="74"/>
    </row>
    <row r="256" ht="15.75" customHeight="1">
      <c r="C256" s="74"/>
      <c r="D256" s="74"/>
      <c r="E256" s="74"/>
      <c r="G256" s="74"/>
      <c r="H256" s="74"/>
      <c r="I256" s="74"/>
      <c r="J256" s="74"/>
    </row>
    <row r="257" ht="15.75" customHeight="1">
      <c r="C257" s="74"/>
      <c r="D257" s="74"/>
      <c r="E257" s="74"/>
      <c r="G257" s="74"/>
      <c r="H257" s="74"/>
      <c r="I257" s="74"/>
      <c r="J257" s="74"/>
    </row>
    <row r="258" ht="15.75" customHeight="1">
      <c r="C258" s="74"/>
      <c r="D258" s="74"/>
      <c r="E258" s="74"/>
      <c r="G258" s="74"/>
      <c r="H258" s="74"/>
      <c r="I258" s="74"/>
      <c r="J258" s="74"/>
    </row>
    <row r="259" ht="15.75" customHeight="1">
      <c r="C259" s="74"/>
      <c r="D259" s="74"/>
      <c r="E259" s="74"/>
      <c r="G259" s="74"/>
      <c r="H259" s="74"/>
      <c r="I259" s="74"/>
      <c r="J259" s="74"/>
    </row>
    <row r="260" ht="15.75" customHeight="1">
      <c r="C260" s="74"/>
      <c r="D260" s="74"/>
      <c r="E260" s="74"/>
      <c r="G260" s="74"/>
      <c r="H260" s="74"/>
      <c r="I260" s="74"/>
      <c r="J260" s="74"/>
    </row>
    <row r="261" ht="15.75" customHeight="1">
      <c r="C261" s="74"/>
      <c r="D261" s="74"/>
      <c r="E261" s="74"/>
      <c r="G261" s="74"/>
      <c r="H261" s="74"/>
      <c r="I261" s="74"/>
      <c r="J261" s="74"/>
    </row>
    <row r="262" ht="15.75" customHeight="1">
      <c r="C262" s="74"/>
      <c r="D262" s="74"/>
      <c r="E262" s="74"/>
      <c r="G262" s="74"/>
      <c r="H262" s="74"/>
      <c r="I262" s="74"/>
      <c r="J262" s="74"/>
    </row>
    <row r="263" ht="15.75" customHeight="1">
      <c r="C263" s="74"/>
      <c r="D263" s="74"/>
      <c r="E263" s="74"/>
      <c r="G263" s="74"/>
      <c r="H263" s="74"/>
      <c r="I263" s="74"/>
      <c r="J263" s="74"/>
    </row>
    <row r="264" ht="15.75" customHeight="1">
      <c r="C264" s="74"/>
      <c r="D264" s="74"/>
      <c r="E264" s="74"/>
      <c r="G264" s="74"/>
      <c r="H264" s="74"/>
      <c r="I264" s="74"/>
      <c r="J264" s="74"/>
    </row>
    <row r="265" ht="15.75" customHeight="1">
      <c r="C265" s="74"/>
      <c r="D265" s="74"/>
      <c r="E265" s="74"/>
      <c r="G265" s="74"/>
      <c r="H265" s="74"/>
      <c r="I265" s="74"/>
      <c r="J265" s="74"/>
    </row>
    <row r="266" ht="15.75" customHeight="1">
      <c r="C266" s="74"/>
      <c r="D266" s="74"/>
      <c r="E266" s="74"/>
      <c r="G266" s="74"/>
      <c r="H266" s="74"/>
      <c r="I266" s="74"/>
      <c r="J266" s="74"/>
    </row>
    <row r="267" ht="15.75" customHeight="1">
      <c r="C267" s="74"/>
      <c r="D267" s="74"/>
      <c r="E267" s="74"/>
      <c r="G267" s="74"/>
      <c r="H267" s="74"/>
      <c r="I267" s="74"/>
      <c r="J267" s="74"/>
    </row>
    <row r="268" ht="15.75" customHeight="1">
      <c r="C268" s="74"/>
      <c r="D268" s="74"/>
      <c r="E268" s="74"/>
      <c r="G268" s="74"/>
      <c r="H268" s="74"/>
      <c r="I268" s="74"/>
      <c r="J268" s="74"/>
    </row>
    <row r="269" ht="15.75" customHeight="1">
      <c r="C269" s="74"/>
      <c r="D269" s="74"/>
      <c r="E269" s="74"/>
      <c r="G269" s="74"/>
      <c r="H269" s="74"/>
      <c r="I269" s="74"/>
      <c r="J269" s="74"/>
    </row>
    <row r="270" ht="15.75" customHeight="1">
      <c r="C270" s="74"/>
      <c r="D270" s="74"/>
      <c r="E270" s="74"/>
      <c r="G270" s="74"/>
      <c r="H270" s="74"/>
      <c r="I270" s="74"/>
      <c r="J270" s="74"/>
    </row>
    <row r="271" ht="15.75" customHeight="1">
      <c r="C271" s="74"/>
      <c r="D271" s="74"/>
      <c r="E271" s="74"/>
      <c r="G271" s="74"/>
      <c r="H271" s="74"/>
      <c r="I271" s="74"/>
      <c r="J271" s="74"/>
    </row>
    <row r="272" ht="15.75" customHeight="1">
      <c r="C272" s="74"/>
      <c r="D272" s="74"/>
      <c r="E272" s="74"/>
      <c r="G272" s="74"/>
      <c r="H272" s="74"/>
      <c r="I272" s="74"/>
      <c r="J272" s="74"/>
    </row>
    <row r="273" ht="15.75" customHeight="1">
      <c r="C273" s="74"/>
      <c r="D273" s="74"/>
      <c r="E273" s="74"/>
      <c r="G273" s="74"/>
      <c r="H273" s="74"/>
      <c r="I273" s="74"/>
      <c r="J273" s="74"/>
    </row>
    <row r="274" ht="15.75" customHeight="1">
      <c r="C274" s="74"/>
      <c r="D274" s="74"/>
      <c r="E274" s="74"/>
      <c r="G274" s="74"/>
      <c r="H274" s="74"/>
      <c r="I274" s="74"/>
      <c r="J274" s="74"/>
    </row>
    <row r="275" ht="15.75" customHeight="1">
      <c r="C275" s="74"/>
      <c r="D275" s="74"/>
      <c r="E275" s="74"/>
      <c r="G275" s="74"/>
      <c r="H275" s="74"/>
      <c r="I275" s="74"/>
      <c r="J275" s="74"/>
    </row>
    <row r="276" ht="15.75" customHeight="1">
      <c r="C276" s="74"/>
      <c r="D276" s="74"/>
      <c r="E276" s="74"/>
      <c r="G276" s="74"/>
      <c r="H276" s="74"/>
      <c r="I276" s="74"/>
      <c r="J276" s="74"/>
    </row>
    <row r="277" ht="15.75" customHeight="1">
      <c r="C277" s="74"/>
      <c r="D277" s="74"/>
      <c r="E277" s="74"/>
      <c r="G277" s="74"/>
      <c r="H277" s="74"/>
      <c r="I277" s="74"/>
      <c r="J277" s="74"/>
    </row>
    <row r="278" ht="15.75" customHeight="1">
      <c r="C278" s="74"/>
      <c r="D278" s="74"/>
      <c r="E278" s="74"/>
      <c r="G278" s="74"/>
      <c r="H278" s="74"/>
      <c r="I278" s="74"/>
      <c r="J278" s="74"/>
    </row>
    <row r="279" ht="15.75" customHeight="1">
      <c r="C279" s="74"/>
      <c r="D279" s="74"/>
      <c r="E279" s="74"/>
      <c r="G279" s="74"/>
      <c r="H279" s="74"/>
      <c r="I279" s="74"/>
      <c r="J279" s="74"/>
    </row>
    <row r="280" ht="15.75" customHeight="1">
      <c r="C280" s="74"/>
      <c r="D280" s="74"/>
      <c r="E280" s="74"/>
      <c r="G280" s="74"/>
      <c r="H280" s="74"/>
      <c r="I280" s="74"/>
      <c r="J280" s="74"/>
    </row>
    <row r="281" ht="15.75" customHeight="1">
      <c r="C281" s="74"/>
      <c r="D281" s="74"/>
      <c r="E281" s="74"/>
      <c r="G281" s="74"/>
      <c r="H281" s="74"/>
      <c r="I281" s="74"/>
      <c r="J281" s="74"/>
    </row>
    <row r="282" ht="15.75" customHeight="1">
      <c r="C282" s="74"/>
      <c r="D282" s="74"/>
      <c r="E282" s="74"/>
      <c r="G282" s="74"/>
      <c r="H282" s="74"/>
      <c r="I282" s="74"/>
      <c r="J282" s="74"/>
    </row>
    <row r="283" ht="15.75" customHeight="1">
      <c r="C283" s="74"/>
      <c r="D283" s="74"/>
      <c r="E283" s="74"/>
      <c r="G283" s="74"/>
      <c r="H283" s="74"/>
      <c r="I283" s="74"/>
      <c r="J283" s="74"/>
    </row>
    <row r="284" ht="15.75" customHeight="1">
      <c r="C284" s="74"/>
      <c r="D284" s="74"/>
      <c r="E284" s="74"/>
      <c r="G284" s="74"/>
      <c r="H284" s="74"/>
      <c r="I284" s="74"/>
      <c r="J284" s="74"/>
    </row>
    <row r="285" ht="15.75" customHeight="1">
      <c r="C285" s="74"/>
      <c r="D285" s="74"/>
      <c r="E285" s="74"/>
      <c r="G285" s="74"/>
      <c r="H285" s="74"/>
      <c r="I285" s="74"/>
      <c r="J285" s="74"/>
    </row>
    <row r="286" ht="15.75" customHeight="1">
      <c r="C286" s="74"/>
      <c r="D286" s="74"/>
      <c r="E286" s="74"/>
      <c r="G286" s="74"/>
      <c r="H286" s="74"/>
      <c r="I286" s="74"/>
      <c r="J286" s="74"/>
    </row>
    <row r="287" ht="15.75" customHeight="1">
      <c r="C287" s="74"/>
      <c r="D287" s="74"/>
      <c r="E287" s="74"/>
      <c r="G287" s="74"/>
      <c r="H287" s="74"/>
      <c r="I287" s="74"/>
      <c r="J287" s="74"/>
    </row>
    <row r="288" ht="15.75" customHeight="1">
      <c r="C288" s="74"/>
      <c r="D288" s="74"/>
      <c r="E288" s="74"/>
      <c r="G288" s="74"/>
      <c r="H288" s="74"/>
      <c r="I288" s="74"/>
      <c r="J288" s="74"/>
    </row>
    <row r="289" ht="15.75" customHeight="1">
      <c r="C289" s="74"/>
      <c r="D289" s="74"/>
      <c r="E289" s="74"/>
      <c r="G289" s="74"/>
      <c r="H289" s="74"/>
      <c r="I289" s="74"/>
      <c r="J289" s="74"/>
    </row>
    <row r="290" ht="15.75" customHeight="1">
      <c r="C290" s="74"/>
      <c r="D290" s="74"/>
      <c r="E290" s="74"/>
      <c r="G290" s="74"/>
      <c r="H290" s="74"/>
      <c r="I290" s="74"/>
      <c r="J290" s="74"/>
    </row>
    <row r="291" ht="15.75" customHeight="1">
      <c r="C291" s="74"/>
      <c r="D291" s="74"/>
      <c r="E291" s="74"/>
      <c r="G291" s="74"/>
      <c r="H291" s="74"/>
      <c r="I291" s="74"/>
      <c r="J291" s="74"/>
    </row>
    <row r="292" ht="15.75" customHeight="1">
      <c r="C292" s="74"/>
      <c r="D292" s="74"/>
      <c r="E292" s="74"/>
      <c r="G292" s="74"/>
      <c r="H292" s="74"/>
      <c r="I292" s="74"/>
      <c r="J292" s="74"/>
    </row>
    <row r="293" ht="15.75" customHeight="1">
      <c r="C293" s="74"/>
      <c r="D293" s="74"/>
      <c r="E293" s="74"/>
      <c r="G293" s="74"/>
      <c r="H293" s="74"/>
      <c r="I293" s="74"/>
      <c r="J293" s="74"/>
    </row>
    <row r="294" ht="15.75" customHeight="1">
      <c r="C294" s="74"/>
      <c r="D294" s="74"/>
      <c r="E294" s="74"/>
      <c r="G294" s="74"/>
      <c r="H294" s="74"/>
      <c r="I294" s="74"/>
      <c r="J294" s="74"/>
    </row>
    <row r="295" ht="15.75" customHeight="1">
      <c r="C295" s="74"/>
      <c r="D295" s="74"/>
      <c r="E295" s="74"/>
      <c r="G295" s="74"/>
      <c r="H295" s="74"/>
      <c r="I295" s="74"/>
      <c r="J295" s="74"/>
    </row>
    <row r="296" ht="15.75" customHeight="1">
      <c r="C296" s="74"/>
      <c r="D296" s="74"/>
      <c r="E296" s="74"/>
      <c r="G296" s="74"/>
      <c r="H296" s="74"/>
      <c r="I296" s="74"/>
      <c r="J296" s="74"/>
    </row>
    <row r="297" ht="15.75" customHeight="1">
      <c r="C297" s="74"/>
      <c r="D297" s="74"/>
      <c r="E297" s="74"/>
      <c r="G297" s="74"/>
      <c r="H297" s="74"/>
      <c r="I297" s="74"/>
      <c r="J297" s="74"/>
    </row>
    <row r="298" ht="15.75" customHeight="1">
      <c r="C298" s="74"/>
      <c r="D298" s="74"/>
      <c r="E298" s="74"/>
      <c r="G298" s="74"/>
      <c r="H298" s="74"/>
      <c r="I298" s="74"/>
      <c r="J298" s="74"/>
    </row>
    <row r="299" ht="15.75" customHeight="1">
      <c r="C299" s="74"/>
      <c r="D299" s="74"/>
      <c r="E299" s="74"/>
      <c r="G299" s="74"/>
      <c r="H299" s="74"/>
      <c r="I299" s="74"/>
      <c r="J299" s="74"/>
    </row>
    <row r="300" ht="15.75" customHeight="1">
      <c r="C300" s="74"/>
      <c r="D300" s="74"/>
      <c r="E300" s="74"/>
      <c r="G300" s="74"/>
      <c r="H300" s="74"/>
      <c r="I300" s="74"/>
      <c r="J300" s="74"/>
    </row>
    <row r="301" ht="15.75" customHeight="1">
      <c r="C301" s="74"/>
      <c r="D301" s="74"/>
      <c r="E301" s="74"/>
      <c r="G301" s="74"/>
      <c r="H301" s="74"/>
      <c r="I301" s="74"/>
      <c r="J301" s="74"/>
    </row>
    <row r="302" ht="15.75" customHeight="1">
      <c r="C302" s="74"/>
      <c r="D302" s="74"/>
      <c r="E302" s="74"/>
      <c r="G302" s="74"/>
      <c r="H302" s="74"/>
      <c r="I302" s="74"/>
      <c r="J302" s="74"/>
    </row>
    <row r="303" ht="15.75" customHeight="1">
      <c r="C303" s="74"/>
      <c r="D303" s="74"/>
      <c r="E303" s="74"/>
      <c r="G303" s="74"/>
      <c r="H303" s="74"/>
      <c r="I303" s="74"/>
      <c r="J303" s="74"/>
    </row>
    <row r="304" ht="15.75" customHeight="1">
      <c r="C304" s="74"/>
      <c r="D304" s="74"/>
      <c r="E304" s="74"/>
      <c r="G304" s="74"/>
      <c r="H304" s="74"/>
      <c r="I304" s="74"/>
      <c r="J304" s="74"/>
    </row>
    <row r="305" ht="15.75" customHeight="1">
      <c r="C305" s="74"/>
      <c r="D305" s="74"/>
      <c r="E305" s="74"/>
      <c r="G305" s="74"/>
      <c r="H305" s="74"/>
      <c r="I305" s="74"/>
      <c r="J305" s="74"/>
    </row>
    <row r="306" ht="15.75" customHeight="1">
      <c r="C306" s="74"/>
      <c r="D306" s="74"/>
      <c r="E306" s="74"/>
      <c r="G306" s="74"/>
      <c r="H306" s="74"/>
      <c r="I306" s="74"/>
      <c r="J306" s="74"/>
    </row>
    <row r="307" ht="15.75" customHeight="1">
      <c r="C307" s="74"/>
      <c r="D307" s="74"/>
      <c r="E307" s="74"/>
      <c r="G307" s="74"/>
      <c r="H307" s="74"/>
      <c r="I307" s="74"/>
      <c r="J307" s="74"/>
    </row>
    <row r="308" ht="15.75" customHeight="1">
      <c r="C308" s="74"/>
      <c r="D308" s="74"/>
      <c r="E308" s="74"/>
      <c r="G308" s="74"/>
      <c r="H308" s="74"/>
      <c r="I308" s="74"/>
      <c r="J308" s="74"/>
    </row>
    <row r="309" ht="15.75" customHeight="1">
      <c r="C309" s="74"/>
      <c r="D309" s="74"/>
      <c r="E309" s="74"/>
      <c r="G309" s="74"/>
      <c r="H309" s="74"/>
      <c r="I309" s="74"/>
      <c r="J309" s="74"/>
    </row>
    <row r="310" ht="15.75" customHeight="1">
      <c r="C310" s="74"/>
      <c r="D310" s="74"/>
      <c r="E310" s="74"/>
      <c r="G310" s="74"/>
      <c r="H310" s="74"/>
      <c r="I310" s="74"/>
      <c r="J310" s="74"/>
    </row>
    <row r="311" ht="15.75" customHeight="1">
      <c r="C311" s="74"/>
      <c r="D311" s="74"/>
      <c r="E311" s="74"/>
      <c r="G311" s="74"/>
      <c r="H311" s="74"/>
      <c r="I311" s="74"/>
      <c r="J311" s="74"/>
    </row>
    <row r="312" ht="15.75" customHeight="1">
      <c r="C312" s="74"/>
      <c r="D312" s="74"/>
      <c r="E312" s="74"/>
      <c r="G312" s="74"/>
      <c r="H312" s="74"/>
      <c r="I312" s="74"/>
      <c r="J312" s="74"/>
    </row>
    <row r="313" ht="15.75" customHeight="1">
      <c r="C313" s="74"/>
      <c r="D313" s="74"/>
      <c r="E313" s="74"/>
      <c r="G313" s="74"/>
      <c r="H313" s="74"/>
      <c r="I313" s="74"/>
      <c r="J313" s="74"/>
    </row>
    <row r="314" ht="15.75" customHeight="1">
      <c r="C314" s="74"/>
      <c r="D314" s="74"/>
      <c r="E314" s="74"/>
      <c r="G314" s="74"/>
      <c r="H314" s="74"/>
      <c r="I314" s="74"/>
      <c r="J314" s="74"/>
    </row>
    <row r="315" ht="15.75" customHeight="1">
      <c r="C315" s="74"/>
      <c r="D315" s="74"/>
      <c r="E315" s="74"/>
      <c r="G315" s="74"/>
      <c r="H315" s="74"/>
      <c r="I315" s="74"/>
      <c r="J315" s="74"/>
    </row>
    <row r="316" ht="15.75" customHeight="1">
      <c r="C316" s="74"/>
      <c r="D316" s="74"/>
      <c r="E316" s="74"/>
      <c r="G316" s="74"/>
      <c r="H316" s="74"/>
      <c r="I316" s="74"/>
      <c r="J316" s="74"/>
    </row>
    <row r="317" ht="15.75" customHeight="1">
      <c r="C317" s="74"/>
      <c r="D317" s="74"/>
      <c r="E317" s="74"/>
      <c r="G317" s="74"/>
      <c r="H317" s="74"/>
      <c r="I317" s="74"/>
      <c r="J317" s="74"/>
    </row>
    <row r="318" ht="15.75" customHeight="1">
      <c r="C318" s="74"/>
      <c r="D318" s="74"/>
      <c r="E318" s="74"/>
      <c r="G318" s="74"/>
      <c r="H318" s="74"/>
      <c r="I318" s="74"/>
      <c r="J318" s="74"/>
    </row>
    <row r="319" ht="15.75" customHeight="1">
      <c r="C319" s="74"/>
      <c r="D319" s="74"/>
      <c r="E319" s="74"/>
      <c r="G319" s="74"/>
      <c r="H319" s="74"/>
      <c r="I319" s="74"/>
      <c r="J319" s="74"/>
    </row>
    <row r="320" ht="15.75" customHeight="1">
      <c r="C320" s="74"/>
      <c r="D320" s="74"/>
      <c r="E320" s="74"/>
      <c r="G320" s="74"/>
      <c r="H320" s="74"/>
      <c r="I320" s="74"/>
      <c r="J320" s="74"/>
    </row>
    <row r="321" ht="15.75" customHeight="1">
      <c r="C321" s="74"/>
      <c r="D321" s="74"/>
      <c r="E321" s="74"/>
      <c r="G321" s="74"/>
      <c r="H321" s="74"/>
      <c r="I321" s="74"/>
      <c r="J321" s="74"/>
    </row>
    <row r="322" ht="15.75" customHeight="1">
      <c r="C322" s="74"/>
      <c r="D322" s="74"/>
      <c r="E322" s="74"/>
      <c r="G322" s="74"/>
      <c r="H322" s="74"/>
      <c r="I322" s="74"/>
      <c r="J322" s="74"/>
    </row>
    <row r="323" ht="15.75" customHeight="1">
      <c r="C323" s="74"/>
      <c r="D323" s="74"/>
      <c r="E323" s="74"/>
      <c r="G323" s="74"/>
      <c r="H323" s="74"/>
      <c r="I323" s="74"/>
      <c r="J323" s="74"/>
    </row>
    <row r="324" ht="15.75" customHeight="1">
      <c r="C324" s="74"/>
      <c r="D324" s="74"/>
      <c r="E324" s="74"/>
      <c r="G324" s="74"/>
      <c r="H324" s="74"/>
      <c r="I324" s="74"/>
      <c r="J324" s="74"/>
    </row>
    <row r="325" ht="15.75" customHeight="1">
      <c r="C325" s="74"/>
      <c r="D325" s="74"/>
      <c r="E325" s="74"/>
      <c r="G325" s="74"/>
      <c r="H325" s="74"/>
      <c r="I325" s="74"/>
      <c r="J325" s="74"/>
    </row>
    <row r="326" ht="15.75" customHeight="1">
      <c r="C326" s="74"/>
      <c r="D326" s="74"/>
      <c r="E326" s="74"/>
      <c r="G326" s="74"/>
      <c r="H326" s="74"/>
      <c r="I326" s="74"/>
      <c r="J326" s="74"/>
    </row>
    <row r="327" ht="15.75" customHeight="1">
      <c r="C327" s="74"/>
      <c r="D327" s="74"/>
      <c r="E327" s="74"/>
      <c r="G327" s="74"/>
      <c r="H327" s="74"/>
      <c r="I327" s="74"/>
      <c r="J327" s="74"/>
    </row>
    <row r="328" ht="15.75" customHeight="1">
      <c r="C328" s="74"/>
      <c r="D328" s="74"/>
      <c r="E328" s="74"/>
      <c r="G328" s="74"/>
      <c r="H328" s="74"/>
      <c r="I328" s="74"/>
      <c r="J328" s="74"/>
    </row>
    <row r="329" ht="15.75" customHeight="1">
      <c r="C329" s="74"/>
      <c r="D329" s="74"/>
      <c r="E329" s="74"/>
      <c r="G329" s="74"/>
      <c r="H329" s="74"/>
      <c r="I329" s="74"/>
      <c r="J329" s="74"/>
    </row>
    <row r="330" ht="15.75" customHeight="1">
      <c r="C330" s="74"/>
      <c r="D330" s="74"/>
      <c r="E330" s="74"/>
      <c r="G330" s="74"/>
      <c r="H330" s="74"/>
      <c r="I330" s="74"/>
      <c r="J330" s="74"/>
    </row>
    <row r="331" ht="15.75" customHeight="1">
      <c r="C331" s="74"/>
      <c r="D331" s="74"/>
      <c r="E331" s="74"/>
      <c r="G331" s="74"/>
      <c r="H331" s="74"/>
      <c r="I331" s="74"/>
      <c r="J331" s="74"/>
    </row>
    <row r="332" ht="15.75" customHeight="1">
      <c r="C332" s="74"/>
      <c r="D332" s="74"/>
      <c r="E332" s="74"/>
      <c r="G332" s="74"/>
      <c r="H332" s="74"/>
      <c r="I332" s="74"/>
      <c r="J332" s="74"/>
    </row>
    <row r="333" ht="15.75" customHeight="1">
      <c r="C333" s="74"/>
      <c r="D333" s="74"/>
      <c r="E333" s="74"/>
      <c r="G333" s="74"/>
      <c r="H333" s="74"/>
      <c r="I333" s="74"/>
      <c r="J333" s="74"/>
    </row>
    <row r="334" ht="15.75" customHeight="1">
      <c r="C334" s="74"/>
      <c r="D334" s="74"/>
      <c r="E334" s="74"/>
      <c r="G334" s="74"/>
      <c r="H334" s="74"/>
      <c r="I334" s="74"/>
      <c r="J334" s="74"/>
    </row>
    <row r="335" ht="15.75" customHeight="1">
      <c r="C335" s="74"/>
      <c r="D335" s="74"/>
      <c r="E335" s="74"/>
      <c r="G335" s="74"/>
      <c r="H335" s="74"/>
      <c r="I335" s="74"/>
      <c r="J335" s="74"/>
    </row>
    <row r="336" ht="15.75" customHeight="1">
      <c r="C336" s="74"/>
      <c r="D336" s="74"/>
      <c r="E336" s="74"/>
      <c r="G336" s="74"/>
      <c r="H336" s="74"/>
      <c r="I336" s="74"/>
      <c r="J336" s="74"/>
    </row>
    <row r="337" ht="15.75" customHeight="1">
      <c r="C337" s="74"/>
      <c r="D337" s="74"/>
      <c r="E337" s="74"/>
      <c r="G337" s="74"/>
      <c r="H337" s="74"/>
      <c r="I337" s="74"/>
      <c r="J337" s="74"/>
    </row>
    <row r="338" ht="15.75" customHeight="1">
      <c r="C338" s="74"/>
      <c r="D338" s="74"/>
      <c r="E338" s="74"/>
      <c r="G338" s="74"/>
      <c r="H338" s="74"/>
      <c r="I338" s="74"/>
      <c r="J338" s="74"/>
    </row>
    <row r="339" ht="15.75" customHeight="1">
      <c r="C339" s="74"/>
      <c r="D339" s="74"/>
      <c r="E339" s="74"/>
      <c r="G339" s="74"/>
      <c r="H339" s="74"/>
      <c r="I339" s="74"/>
      <c r="J339" s="74"/>
    </row>
    <row r="340" ht="15.75" customHeight="1">
      <c r="C340" s="74"/>
      <c r="D340" s="74"/>
      <c r="E340" s="74"/>
      <c r="G340" s="74"/>
      <c r="H340" s="74"/>
      <c r="I340" s="74"/>
      <c r="J340" s="74"/>
    </row>
    <row r="341" ht="15.75" customHeight="1">
      <c r="C341" s="74"/>
      <c r="D341" s="74"/>
      <c r="E341" s="74"/>
      <c r="G341" s="74"/>
      <c r="H341" s="74"/>
      <c r="I341" s="74"/>
      <c r="J341" s="74"/>
    </row>
    <row r="342" ht="15.75" customHeight="1">
      <c r="C342" s="74"/>
      <c r="D342" s="74"/>
      <c r="E342" s="74"/>
      <c r="G342" s="74"/>
      <c r="H342" s="74"/>
      <c r="I342" s="74"/>
      <c r="J342" s="74"/>
    </row>
    <row r="343" ht="15.75" customHeight="1">
      <c r="C343" s="74"/>
      <c r="D343" s="74"/>
      <c r="E343" s="74"/>
      <c r="G343" s="74"/>
      <c r="H343" s="74"/>
      <c r="I343" s="74"/>
      <c r="J343" s="74"/>
    </row>
    <row r="344" ht="15.75" customHeight="1">
      <c r="C344" s="74"/>
      <c r="D344" s="74"/>
      <c r="E344" s="74"/>
      <c r="G344" s="74"/>
      <c r="H344" s="74"/>
      <c r="I344" s="74"/>
      <c r="J344" s="74"/>
    </row>
    <row r="345" ht="15.75" customHeight="1">
      <c r="C345" s="74"/>
      <c r="D345" s="74"/>
      <c r="E345" s="74"/>
      <c r="G345" s="74"/>
      <c r="H345" s="74"/>
      <c r="I345" s="74"/>
      <c r="J345" s="74"/>
    </row>
    <row r="346" ht="15.75" customHeight="1">
      <c r="C346" s="74"/>
      <c r="D346" s="74"/>
      <c r="E346" s="74"/>
      <c r="G346" s="74"/>
      <c r="H346" s="74"/>
      <c r="I346" s="74"/>
      <c r="J346" s="74"/>
    </row>
    <row r="347" ht="15.75" customHeight="1">
      <c r="C347" s="74"/>
      <c r="D347" s="74"/>
      <c r="E347" s="74"/>
      <c r="G347" s="74"/>
      <c r="H347" s="74"/>
      <c r="I347" s="74"/>
      <c r="J347" s="74"/>
    </row>
    <row r="348" ht="15.75" customHeight="1">
      <c r="C348" s="74"/>
      <c r="D348" s="74"/>
      <c r="E348" s="74"/>
      <c r="G348" s="74"/>
      <c r="H348" s="74"/>
      <c r="I348" s="74"/>
      <c r="J348" s="74"/>
    </row>
    <row r="349" ht="15.75" customHeight="1">
      <c r="C349" s="74"/>
      <c r="D349" s="74"/>
      <c r="E349" s="74"/>
      <c r="G349" s="74"/>
      <c r="H349" s="74"/>
      <c r="I349" s="74"/>
      <c r="J349" s="74"/>
    </row>
    <row r="350" ht="15.75" customHeight="1">
      <c r="C350" s="74"/>
      <c r="D350" s="74"/>
      <c r="E350" s="74"/>
      <c r="G350" s="74"/>
      <c r="H350" s="74"/>
      <c r="I350" s="74"/>
      <c r="J350" s="74"/>
    </row>
    <row r="351" ht="15.75" customHeight="1">
      <c r="C351" s="74"/>
      <c r="D351" s="74"/>
      <c r="E351" s="74"/>
      <c r="G351" s="74"/>
      <c r="H351" s="74"/>
      <c r="I351" s="74"/>
      <c r="J351" s="74"/>
    </row>
    <row r="352" ht="15.75" customHeight="1">
      <c r="C352" s="74"/>
      <c r="D352" s="74"/>
      <c r="E352" s="74"/>
      <c r="G352" s="74"/>
      <c r="H352" s="74"/>
      <c r="I352" s="74"/>
      <c r="J352" s="74"/>
    </row>
    <row r="353" ht="15.75" customHeight="1">
      <c r="C353" s="74"/>
      <c r="D353" s="74"/>
      <c r="E353" s="74"/>
      <c r="G353" s="74"/>
      <c r="H353" s="74"/>
      <c r="I353" s="74"/>
      <c r="J353" s="74"/>
    </row>
    <row r="354" ht="15.75" customHeight="1">
      <c r="C354" s="74"/>
      <c r="D354" s="74"/>
      <c r="E354" s="74"/>
      <c r="G354" s="74"/>
      <c r="H354" s="74"/>
      <c r="I354" s="74"/>
      <c r="J354" s="74"/>
    </row>
    <row r="355" ht="15.75" customHeight="1">
      <c r="C355" s="74"/>
      <c r="D355" s="74"/>
      <c r="E355" s="74"/>
      <c r="G355" s="74"/>
      <c r="H355" s="74"/>
      <c r="I355" s="74"/>
      <c r="J355" s="74"/>
    </row>
    <row r="356" ht="15.75" customHeight="1">
      <c r="C356" s="74"/>
      <c r="D356" s="74"/>
      <c r="E356" s="74"/>
      <c r="G356" s="74"/>
      <c r="H356" s="74"/>
      <c r="I356" s="74"/>
      <c r="J356" s="74"/>
    </row>
    <row r="357" ht="15.75" customHeight="1">
      <c r="C357" s="74"/>
      <c r="D357" s="74"/>
      <c r="E357" s="74"/>
      <c r="G357" s="74"/>
      <c r="H357" s="74"/>
      <c r="I357" s="74"/>
      <c r="J357" s="74"/>
    </row>
    <row r="358" ht="15.75" customHeight="1">
      <c r="C358" s="74"/>
      <c r="D358" s="74"/>
      <c r="E358" s="74"/>
      <c r="G358" s="74"/>
      <c r="H358" s="74"/>
      <c r="I358" s="74"/>
      <c r="J358" s="74"/>
    </row>
    <row r="359" ht="15.75" customHeight="1">
      <c r="C359" s="74"/>
      <c r="D359" s="74"/>
      <c r="E359" s="74"/>
      <c r="G359" s="74"/>
      <c r="H359" s="74"/>
      <c r="I359" s="74"/>
      <c r="J359" s="74"/>
    </row>
    <row r="360" ht="15.75" customHeight="1">
      <c r="C360" s="74"/>
      <c r="D360" s="74"/>
      <c r="E360" s="74"/>
      <c r="G360" s="74"/>
      <c r="H360" s="74"/>
      <c r="I360" s="74"/>
      <c r="J360" s="74"/>
    </row>
    <row r="361" ht="15.75" customHeight="1">
      <c r="C361" s="74"/>
      <c r="D361" s="74"/>
      <c r="E361" s="74"/>
      <c r="G361" s="74"/>
      <c r="H361" s="74"/>
      <c r="I361" s="74"/>
      <c r="J361" s="74"/>
    </row>
    <row r="362" ht="15.75" customHeight="1">
      <c r="C362" s="74"/>
      <c r="D362" s="74"/>
      <c r="E362" s="74"/>
      <c r="G362" s="74"/>
      <c r="H362" s="74"/>
      <c r="I362" s="74"/>
      <c r="J362" s="74"/>
    </row>
    <row r="363" ht="15.75" customHeight="1">
      <c r="C363" s="74"/>
      <c r="D363" s="74"/>
      <c r="E363" s="74"/>
      <c r="G363" s="74"/>
      <c r="H363" s="74"/>
      <c r="I363" s="74"/>
      <c r="J363" s="74"/>
    </row>
    <row r="364" ht="15.75" customHeight="1">
      <c r="C364" s="74"/>
      <c r="D364" s="74"/>
      <c r="E364" s="74"/>
      <c r="G364" s="74"/>
      <c r="H364" s="74"/>
      <c r="I364" s="74"/>
      <c r="J364" s="74"/>
    </row>
    <row r="365" ht="15.75" customHeight="1">
      <c r="C365" s="74"/>
      <c r="D365" s="74"/>
      <c r="E365" s="74"/>
      <c r="G365" s="74"/>
      <c r="H365" s="74"/>
      <c r="I365" s="74"/>
      <c r="J365" s="74"/>
    </row>
    <row r="366" ht="15.75" customHeight="1">
      <c r="C366" s="74"/>
      <c r="D366" s="74"/>
      <c r="E366" s="74"/>
      <c r="G366" s="74"/>
      <c r="H366" s="74"/>
      <c r="I366" s="74"/>
      <c r="J366" s="74"/>
    </row>
    <row r="367" ht="15.75" customHeight="1">
      <c r="C367" s="74"/>
      <c r="D367" s="74"/>
      <c r="E367" s="74"/>
      <c r="G367" s="74"/>
      <c r="H367" s="74"/>
      <c r="I367" s="74"/>
      <c r="J367" s="74"/>
    </row>
    <row r="368" ht="15.75" customHeight="1">
      <c r="C368" s="74"/>
      <c r="D368" s="74"/>
      <c r="E368" s="74"/>
      <c r="G368" s="74"/>
      <c r="H368" s="74"/>
      <c r="I368" s="74"/>
      <c r="J368" s="74"/>
    </row>
    <row r="369" ht="15.75" customHeight="1">
      <c r="C369" s="74"/>
      <c r="D369" s="74"/>
      <c r="E369" s="74"/>
      <c r="G369" s="74"/>
      <c r="H369" s="74"/>
      <c r="I369" s="74"/>
      <c r="J369" s="74"/>
    </row>
    <row r="370" ht="15.75" customHeight="1">
      <c r="C370" s="74"/>
      <c r="D370" s="74"/>
      <c r="E370" s="74"/>
      <c r="G370" s="74"/>
      <c r="H370" s="74"/>
      <c r="I370" s="74"/>
      <c r="J370" s="74"/>
    </row>
    <row r="371" ht="15.75" customHeight="1">
      <c r="C371" s="74"/>
      <c r="D371" s="74"/>
      <c r="E371" s="74"/>
      <c r="G371" s="74"/>
      <c r="H371" s="74"/>
      <c r="I371" s="74"/>
      <c r="J371" s="74"/>
    </row>
    <row r="372" ht="15.75" customHeight="1">
      <c r="C372" s="74"/>
      <c r="D372" s="74"/>
      <c r="E372" s="74"/>
      <c r="G372" s="74"/>
      <c r="H372" s="74"/>
      <c r="I372" s="74"/>
      <c r="J372" s="74"/>
    </row>
    <row r="373" ht="15.75" customHeight="1">
      <c r="C373" s="74"/>
      <c r="D373" s="74"/>
      <c r="E373" s="74"/>
      <c r="G373" s="74"/>
      <c r="H373" s="74"/>
      <c r="I373" s="74"/>
      <c r="J373" s="74"/>
    </row>
    <row r="374" ht="15.75" customHeight="1">
      <c r="C374" s="74"/>
      <c r="D374" s="74"/>
      <c r="E374" s="74"/>
      <c r="G374" s="74"/>
      <c r="H374" s="74"/>
      <c r="I374" s="74"/>
      <c r="J374" s="74"/>
    </row>
    <row r="375" ht="15.75" customHeight="1">
      <c r="C375" s="74"/>
      <c r="D375" s="74"/>
      <c r="E375" s="74"/>
      <c r="G375" s="74"/>
      <c r="H375" s="74"/>
      <c r="I375" s="74"/>
      <c r="J375" s="74"/>
    </row>
    <row r="376" ht="15.75" customHeight="1">
      <c r="C376" s="74"/>
      <c r="D376" s="74"/>
      <c r="E376" s="74"/>
      <c r="G376" s="74"/>
      <c r="H376" s="74"/>
      <c r="I376" s="74"/>
      <c r="J376" s="74"/>
    </row>
    <row r="377" ht="15.75" customHeight="1">
      <c r="C377" s="74"/>
      <c r="D377" s="74"/>
      <c r="E377" s="74"/>
      <c r="G377" s="74"/>
      <c r="H377" s="74"/>
      <c r="I377" s="74"/>
      <c r="J377" s="74"/>
    </row>
    <row r="378" ht="15.75" customHeight="1">
      <c r="C378" s="74"/>
      <c r="D378" s="74"/>
      <c r="E378" s="74"/>
      <c r="G378" s="74"/>
      <c r="H378" s="74"/>
      <c r="I378" s="74"/>
      <c r="J378" s="74"/>
    </row>
    <row r="379" ht="15.75" customHeight="1">
      <c r="C379" s="74"/>
      <c r="D379" s="74"/>
      <c r="E379" s="74"/>
      <c r="G379" s="74"/>
      <c r="H379" s="74"/>
      <c r="I379" s="74"/>
      <c r="J379" s="74"/>
    </row>
    <row r="380" ht="15.75" customHeight="1">
      <c r="C380" s="74"/>
      <c r="D380" s="74"/>
      <c r="E380" s="74"/>
      <c r="G380" s="74"/>
      <c r="H380" s="74"/>
      <c r="I380" s="74"/>
      <c r="J380" s="74"/>
    </row>
    <row r="381" ht="15.75" customHeight="1">
      <c r="C381" s="74"/>
      <c r="D381" s="74"/>
      <c r="E381" s="74"/>
      <c r="G381" s="74"/>
      <c r="H381" s="74"/>
      <c r="I381" s="74"/>
      <c r="J381" s="74"/>
    </row>
    <row r="382" ht="15.75" customHeight="1">
      <c r="C382" s="74"/>
      <c r="D382" s="74"/>
      <c r="E382" s="74"/>
      <c r="G382" s="74"/>
      <c r="H382" s="74"/>
      <c r="I382" s="74"/>
      <c r="J382" s="74"/>
    </row>
    <row r="383" ht="15.75" customHeight="1">
      <c r="C383" s="74"/>
      <c r="D383" s="74"/>
      <c r="E383" s="74"/>
      <c r="G383" s="74"/>
      <c r="H383" s="74"/>
      <c r="I383" s="74"/>
      <c r="J383" s="74"/>
    </row>
    <row r="384" ht="15.75" customHeight="1">
      <c r="C384" s="74"/>
      <c r="D384" s="74"/>
      <c r="E384" s="74"/>
      <c r="G384" s="74"/>
      <c r="H384" s="74"/>
      <c r="I384" s="74"/>
      <c r="J384" s="74"/>
    </row>
    <row r="385" ht="15.75" customHeight="1">
      <c r="C385" s="74"/>
      <c r="D385" s="74"/>
      <c r="E385" s="74"/>
      <c r="G385" s="74"/>
      <c r="H385" s="74"/>
      <c r="I385" s="74"/>
      <c r="J385" s="74"/>
    </row>
    <row r="386" ht="15.75" customHeight="1">
      <c r="C386" s="74"/>
      <c r="D386" s="74"/>
      <c r="E386" s="74"/>
      <c r="G386" s="74"/>
      <c r="H386" s="74"/>
      <c r="I386" s="74"/>
      <c r="J386" s="74"/>
    </row>
    <row r="387" ht="15.75" customHeight="1">
      <c r="C387" s="74"/>
      <c r="D387" s="74"/>
      <c r="E387" s="74"/>
      <c r="G387" s="74"/>
      <c r="H387" s="74"/>
      <c r="I387" s="74"/>
      <c r="J387" s="74"/>
    </row>
    <row r="388" ht="15.75" customHeight="1">
      <c r="C388" s="74"/>
      <c r="D388" s="74"/>
      <c r="E388" s="74"/>
      <c r="G388" s="74"/>
      <c r="H388" s="74"/>
      <c r="I388" s="74"/>
      <c r="J388" s="74"/>
    </row>
    <row r="389" ht="15.75" customHeight="1">
      <c r="C389" s="74"/>
      <c r="D389" s="74"/>
      <c r="E389" s="74"/>
      <c r="G389" s="74"/>
      <c r="H389" s="74"/>
      <c r="I389" s="74"/>
      <c r="J389" s="74"/>
    </row>
    <row r="390" ht="15.75" customHeight="1">
      <c r="C390" s="74"/>
      <c r="D390" s="74"/>
      <c r="E390" s="74"/>
      <c r="G390" s="74"/>
      <c r="H390" s="74"/>
      <c r="I390" s="74"/>
      <c r="J390" s="74"/>
    </row>
    <row r="391" ht="15.75" customHeight="1">
      <c r="C391" s="74"/>
      <c r="D391" s="74"/>
      <c r="E391" s="74"/>
      <c r="G391" s="74"/>
      <c r="H391" s="74"/>
      <c r="I391" s="74"/>
      <c r="J391" s="74"/>
    </row>
    <row r="392" ht="15.75" customHeight="1">
      <c r="C392" s="74"/>
      <c r="D392" s="74"/>
      <c r="E392" s="74"/>
      <c r="G392" s="74"/>
      <c r="H392" s="74"/>
      <c r="I392" s="74"/>
      <c r="J392" s="74"/>
    </row>
    <row r="393" ht="15.75" customHeight="1">
      <c r="C393" s="74"/>
      <c r="D393" s="74"/>
      <c r="E393" s="74"/>
      <c r="G393" s="74"/>
      <c r="H393" s="74"/>
      <c r="I393" s="74"/>
      <c r="J393" s="74"/>
    </row>
    <row r="394" ht="15.75" customHeight="1">
      <c r="C394" s="74"/>
      <c r="D394" s="74"/>
      <c r="E394" s="74"/>
      <c r="G394" s="74"/>
      <c r="H394" s="74"/>
      <c r="I394" s="74"/>
      <c r="J394" s="74"/>
    </row>
    <row r="395" ht="15.75" customHeight="1">
      <c r="C395" s="74"/>
      <c r="D395" s="74"/>
      <c r="E395" s="74"/>
      <c r="G395" s="74"/>
      <c r="H395" s="74"/>
      <c r="I395" s="74"/>
      <c r="J395" s="74"/>
    </row>
    <row r="396" ht="15.75" customHeight="1">
      <c r="C396" s="74"/>
      <c r="D396" s="74"/>
      <c r="E396" s="74"/>
      <c r="G396" s="74"/>
      <c r="H396" s="74"/>
      <c r="I396" s="74"/>
      <c r="J396" s="74"/>
    </row>
    <row r="397" ht="15.75" customHeight="1">
      <c r="C397" s="74"/>
      <c r="D397" s="74"/>
      <c r="E397" s="74"/>
      <c r="G397" s="74"/>
      <c r="H397" s="74"/>
      <c r="I397" s="74"/>
      <c r="J397" s="74"/>
    </row>
    <row r="398" ht="15.75" customHeight="1">
      <c r="C398" s="74"/>
      <c r="D398" s="74"/>
      <c r="E398" s="74"/>
      <c r="G398" s="74"/>
      <c r="H398" s="74"/>
      <c r="I398" s="74"/>
      <c r="J398" s="74"/>
    </row>
    <row r="399" ht="15.75" customHeight="1">
      <c r="C399" s="74"/>
      <c r="D399" s="74"/>
      <c r="E399" s="74"/>
      <c r="G399" s="74"/>
      <c r="H399" s="74"/>
      <c r="I399" s="74"/>
      <c r="J399" s="74"/>
    </row>
    <row r="400" ht="15.75" customHeight="1">
      <c r="C400" s="74"/>
      <c r="D400" s="74"/>
      <c r="E400" s="74"/>
      <c r="G400" s="74"/>
      <c r="H400" s="74"/>
      <c r="I400" s="74"/>
      <c r="J400" s="74"/>
    </row>
    <row r="401" ht="15.75" customHeight="1">
      <c r="C401" s="74"/>
      <c r="D401" s="74"/>
      <c r="E401" s="74"/>
      <c r="G401" s="74"/>
      <c r="H401" s="74"/>
      <c r="I401" s="74"/>
      <c r="J401" s="74"/>
    </row>
    <row r="402" ht="15.75" customHeight="1">
      <c r="C402" s="74"/>
      <c r="D402" s="74"/>
      <c r="E402" s="74"/>
      <c r="G402" s="74"/>
      <c r="H402" s="74"/>
      <c r="I402" s="74"/>
      <c r="J402" s="74"/>
    </row>
    <row r="403" ht="15.75" customHeight="1">
      <c r="C403" s="74"/>
      <c r="D403" s="74"/>
      <c r="E403" s="74"/>
      <c r="G403" s="74"/>
      <c r="H403" s="74"/>
      <c r="I403" s="74"/>
      <c r="J403" s="74"/>
    </row>
    <row r="404" ht="15.75" customHeight="1">
      <c r="C404" s="74"/>
      <c r="D404" s="74"/>
      <c r="E404" s="74"/>
      <c r="G404" s="74"/>
      <c r="H404" s="74"/>
      <c r="I404" s="74"/>
      <c r="J404" s="74"/>
    </row>
    <row r="405" ht="15.75" customHeight="1">
      <c r="C405" s="74"/>
      <c r="D405" s="74"/>
      <c r="E405" s="74"/>
      <c r="G405" s="74"/>
      <c r="H405" s="74"/>
      <c r="I405" s="74"/>
      <c r="J405" s="74"/>
    </row>
    <row r="406" ht="15.75" customHeight="1">
      <c r="C406" s="74"/>
      <c r="D406" s="74"/>
      <c r="E406" s="74"/>
      <c r="G406" s="74"/>
      <c r="H406" s="74"/>
      <c r="I406" s="74"/>
      <c r="J406" s="74"/>
    </row>
    <row r="407" ht="15.75" customHeight="1">
      <c r="C407" s="74"/>
      <c r="D407" s="74"/>
      <c r="E407" s="74"/>
      <c r="G407" s="74"/>
      <c r="H407" s="74"/>
      <c r="I407" s="74"/>
      <c r="J407" s="74"/>
    </row>
    <row r="408" ht="15.75" customHeight="1">
      <c r="C408" s="74"/>
      <c r="D408" s="74"/>
      <c r="E408" s="74"/>
      <c r="G408" s="74"/>
      <c r="H408" s="74"/>
      <c r="I408" s="74"/>
      <c r="J408" s="74"/>
    </row>
    <row r="409" ht="15.75" customHeight="1">
      <c r="C409" s="74"/>
      <c r="D409" s="74"/>
      <c r="E409" s="74"/>
      <c r="G409" s="74"/>
      <c r="H409" s="74"/>
      <c r="I409" s="74"/>
      <c r="J409" s="74"/>
    </row>
    <row r="410" ht="15.75" customHeight="1">
      <c r="C410" s="74"/>
      <c r="D410" s="74"/>
      <c r="E410" s="74"/>
      <c r="G410" s="74"/>
      <c r="H410" s="74"/>
      <c r="I410" s="74"/>
      <c r="J410" s="74"/>
    </row>
    <row r="411" ht="15.75" customHeight="1">
      <c r="C411" s="74"/>
      <c r="D411" s="74"/>
      <c r="E411" s="74"/>
      <c r="G411" s="74"/>
      <c r="H411" s="74"/>
      <c r="I411" s="74"/>
      <c r="J411" s="74"/>
    </row>
    <row r="412" ht="15.75" customHeight="1">
      <c r="C412" s="74"/>
      <c r="D412" s="74"/>
      <c r="E412" s="74"/>
      <c r="G412" s="74"/>
      <c r="H412" s="74"/>
      <c r="I412" s="74"/>
      <c r="J412" s="74"/>
    </row>
    <row r="413" ht="15.75" customHeight="1">
      <c r="C413" s="74"/>
      <c r="D413" s="74"/>
      <c r="E413" s="74"/>
      <c r="G413" s="74"/>
      <c r="H413" s="74"/>
      <c r="I413" s="74"/>
      <c r="J413" s="74"/>
    </row>
    <row r="414" ht="15.75" customHeight="1">
      <c r="C414" s="74"/>
      <c r="D414" s="74"/>
      <c r="E414" s="74"/>
      <c r="G414" s="74"/>
      <c r="H414" s="74"/>
      <c r="I414" s="74"/>
      <c r="J414" s="74"/>
    </row>
    <row r="415" ht="15.75" customHeight="1">
      <c r="C415" s="74"/>
      <c r="D415" s="74"/>
      <c r="E415" s="74"/>
      <c r="G415" s="74"/>
      <c r="H415" s="74"/>
      <c r="I415" s="74"/>
      <c r="J415" s="74"/>
    </row>
    <row r="416" ht="15.75" customHeight="1">
      <c r="C416" s="74"/>
      <c r="D416" s="74"/>
      <c r="E416" s="74"/>
      <c r="G416" s="74"/>
      <c r="H416" s="74"/>
      <c r="I416" s="74"/>
      <c r="J416" s="74"/>
    </row>
    <row r="417" ht="15.75" customHeight="1">
      <c r="C417" s="74"/>
      <c r="D417" s="74"/>
      <c r="E417" s="74"/>
      <c r="G417" s="74"/>
      <c r="H417" s="74"/>
      <c r="I417" s="74"/>
      <c r="J417" s="74"/>
    </row>
    <row r="418" ht="15.75" customHeight="1">
      <c r="C418" s="74"/>
      <c r="D418" s="74"/>
      <c r="E418" s="74"/>
      <c r="G418" s="74"/>
      <c r="H418" s="74"/>
      <c r="I418" s="74"/>
      <c r="J418" s="74"/>
    </row>
    <row r="419" ht="15.75" customHeight="1">
      <c r="C419" s="74"/>
      <c r="D419" s="74"/>
      <c r="E419" s="74"/>
      <c r="G419" s="74"/>
      <c r="H419" s="74"/>
      <c r="I419" s="74"/>
      <c r="J419" s="74"/>
    </row>
    <row r="420" ht="15.75" customHeight="1">
      <c r="C420" s="74"/>
      <c r="D420" s="74"/>
      <c r="E420" s="74"/>
      <c r="G420" s="74"/>
      <c r="H420" s="74"/>
      <c r="I420" s="74"/>
      <c r="J420" s="74"/>
    </row>
    <row r="421" ht="15.75" customHeight="1">
      <c r="C421" s="74"/>
      <c r="D421" s="74"/>
      <c r="E421" s="74"/>
      <c r="G421" s="74"/>
      <c r="H421" s="74"/>
      <c r="I421" s="74"/>
      <c r="J421" s="74"/>
    </row>
    <row r="422" ht="15.75" customHeight="1">
      <c r="C422" s="74"/>
      <c r="D422" s="74"/>
      <c r="E422" s="74"/>
      <c r="G422" s="74"/>
      <c r="H422" s="74"/>
      <c r="I422" s="74"/>
      <c r="J422" s="74"/>
    </row>
    <row r="423" ht="15.75" customHeight="1">
      <c r="C423" s="74"/>
      <c r="D423" s="74"/>
      <c r="E423" s="74"/>
      <c r="G423" s="74"/>
      <c r="H423" s="74"/>
      <c r="I423" s="74"/>
      <c r="J423" s="74"/>
    </row>
    <row r="424" ht="15.75" customHeight="1">
      <c r="C424" s="74"/>
      <c r="D424" s="74"/>
      <c r="E424" s="74"/>
      <c r="G424" s="74"/>
      <c r="H424" s="74"/>
      <c r="I424" s="74"/>
      <c r="J424" s="74"/>
    </row>
    <row r="425" ht="15.75" customHeight="1">
      <c r="C425" s="74"/>
      <c r="D425" s="74"/>
      <c r="E425" s="74"/>
      <c r="G425" s="74"/>
      <c r="H425" s="74"/>
      <c r="I425" s="74"/>
      <c r="J425" s="74"/>
    </row>
    <row r="426" ht="15.75" customHeight="1">
      <c r="C426" s="74"/>
      <c r="D426" s="74"/>
      <c r="E426" s="74"/>
      <c r="G426" s="74"/>
      <c r="H426" s="74"/>
      <c r="I426" s="74"/>
      <c r="J426" s="74"/>
    </row>
    <row r="427" ht="15.75" customHeight="1">
      <c r="C427" s="74"/>
      <c r="D427" s="74"/>
      <c r="E427" s="74"/>
      <c r="G427" s="74"/>
      <c r="H427" s="74"/>
      <c r="I427" s="74"/>
      <c r="J427" s="74"/>
    </row>
    <row r="428" ht="15.75" customHeight="1">
      <c r="C428" s="74"/>
      <c r="D428" s="74"/>
      <c r="E428" s="74"/>
      <c r="G428" s="74"/>
      <c r="H428" s="74"/>
      <c r="I428" s="74"/>
      <c r="J428" s="74"/>
    </row>
    <row r="429" ht="15.75" customHeight="1">
      <c r="C429" s="74"/>
      <c r="D429" s="74"/>
      <c r="E429" s="74"/>
      <c r="G429" s="74"/>
      <c r="H429" s="74"/>
      <c r="I429" s="74"/>
      <c r="J429" s="74"/>
    </row>
    <row r="430" ht="15.75" customHeight="1">
      <c r="C430" s="74"/>
      <c r="D430" s="74"/>
      <c r="E430" s="74"/>
      <c r="G430" s="74"/>
      <c r="H430" s="74"/>
      <c r="I430" s="74"/>
      <c r="J430" s="74"/>
    </row>
    <row r="431" ht="15.75" customHeight="1">
      <c r="C431" s="74"/>
      <c r="D431" s="74"/>
      <c r="E431" s="74"/>
      <c r="G431" s="74"/>
      <c r="H431" s="74"/>
      <c r="I431" s="74"/>
      <c r="J431" s="74"/>
    </row>
    <row r="432" ht="15.75" customHeight="1">
      <c r="C432" s="74"/>
      <c r="D432" s="74"/>
      <c r="E432" s="74"/>
      <c r="G432" s="74"/>
      <c r="H432" s="74"/>
      <c r="I432" s="74"/>
      <c r="J432" s="74"/>
    </row>
    <row r="433" ht="15.75" customHeight="1">
      <c r="C433" s="74"/>
      <c r="D433" s="74"/>
      <c r="E433" s="74"/>
      <c r="G433" s="74"/>
      <c r="H433" s="74"/>
      <c r="I433" s="74"/>
      <c r="J433" s="74"/>
    </row>
    <row r="434" ht="15.75" customHeight="1">
      <c r="C434" s="74"/>
      <c r="D434" s="74"/>
      <c r="E434" s="74"/>
      <c r="G434" s="74"/>
      <c r="H434" s="74"/>
      <c r="I434" s="74"/>
      <c r="J434" s="74"/>
    </row>
    <row r="435" ht="15.75" customHeight="1">
      <c r="C435" s="74"/>
      <c r="D435" s="74"/>
      <c r="E435" s="74"/>
      <c r="G435" s="74"/>
      <c r="H435" s="74"/>
      <c r="I435" s="74"/>
      <c r="J435" s="74"/>
    </row>
    <row r="436" ht="15.75" customHeight="1">
      <c r="C436" s="74"/>
      <c r="D436" s="74"/>
      <c r="E436" s="74"/>
      <c r="G436" s="74"/>
      <c r="H436" s="74"/>
      <c r="I436" s="74"/>
      <c r="J436" s="74"/>
    </row>
    <row r="437" ht="15.75" customHeight="1">
      <c r="C437" s="74"/>
      <c r="D437" s="74"/>
      <c r="E437" s="74"/>
      <c r="G437" s="74"/>
      <c r="H437" s="74"/>
      <c r="I437" s="74"/>
      <c r="J437" s="74"/>
    </row>
    <row r="438" ht="15.75" customHeight="1">
      <c r="C438" s="74"/>
      <c r="D438" s="74"/>
      <c r="E438" s="74"/>
      <c r="G438" s="74"/>
      <c r="H438" s="74"/>
      <c r="I438" s="74"/>
      <c r="J438" s="74"/>
    </row>
    <row r="439" ht="15.75" customHeight="1">
      <c r="C439" s="30"/>
    </row>
    <row r="440" ht="15.75" customHeight="1">
      <c r="C440" s="30"/>
    </row>
    <row r="441" ht="15.75" customHeight="1">
      <c r="C441" s="30"/>
    </row>
    <row r="442" ht="15.75" customHeight="1">
      <c r="C442" s="30"/>
    </row>
    <row r="443" ht="15.75" customHeight="1">
      <c r="C443" s="30"/>
    </row>
    <row r="444" ht="15.75" customHeight="1">
      <c r="C444" s="30"/>
    </row>
    <row r="445" ht="15.75" customHeight="1">
      <c r="C445" s="30"/>
    </row>
    <row r="446" ht="15.75" customHeight="1">
      <c r="C446" s="30"/>
    </row>
    <row r="447" ht="15.75" customHeight="1">
      <c r="C447" s="30"/>
    </row>
    <row r="448" ht="15.75" customHeight="1">
      <c r="C448" s="30"/>
    </row>
    <row r="449" ht="15.75" customHeight="1">
      <c r="C449" s="30"/>
    </row>
    <row r="450" ht="15.75" customHeight="1">
      <c r="C450" s="30"/>
    </row>
    <row r="451" ht="15.75" customHeight="1">
      <c r="C451" s="30"/>
    </row>
    <row r="452" ht="15.75" customHeight="1">
      <c r="C452" s="30"/>
    </row>
    <row r="453" ht="15.75" customHeight="1">
      <c r="C453" s="30"/>
    </row>
    <row r="454" ht="15.75" customHeight="1">
      <c r="C454" s="30"/>
    </row>
    <row r="455" ht="15.75" customHeight="1">
      <c r="C455" s="30"/>
    </row>
    <row r="456" ht="15.75" customHeight="1">
      <c r="C456" s="30"/>
    </row>
    <row r="457" ht="15.75" customHeight="1">
      <c r="C457" s="30"/>
    </row>
    <row r="458" ht="15.75" customHeight="1">
      <c r="C458" s="30"/>
    </row>
    <row r="459" ht="15.75" customHeight="1">
      <c r="C459" s="30"/>
    </row>
    <row r="460" ht="15.75" customHeight="1">
      <c r="C460" s="30"/>
    </row>
    <row r="461" ht="15.75" customHeight="1">
      <c r="C461" s="30"/>
    </row>
    <row r="462" ht="15.75" customHeight="1">
      <c r="C462" s="30"/>
    </row>
    <row r="463" ht="15.75" customHeight="1">
      <c r="C463" s="30"/>
    </row>
    <row r="464" ht="15.75" customHeight="1">
      <c r="C464" s="30"/>
    </row>
    <row r="465" ht="15.75" customHeight="1">
      <c r="C465" s="30"/>
    </row>
    <row r="466" ht="15.75" customHeight="1">
      <c r="C466" s="30"/>
    </row>
    <row r="467" ht="15.75" customHeight="1">
      <c r="C467" s="30"/>
    </row>
    <row r="468" ht="15.75" customHeight="1">
      <c r="C468" s="30"/>
    </row>
    <row r="469" ht="15.75" customHeight="1">
      <c r="C469" s="30"/>
    </row>
    <row r="470" ht="15.75" customHeight="1">
      <c r="C470" s="30"/>
    </row>
    <row r="471" ht="15.75" customHeight="1">
      <c r="C471" s="30"/>
    </row>
    <row r="472" ht="15.75" customHeight="1">
      <c r="C472" s="30"/>
    </row>
    <row r="473" ht="15.75" customHeight="1">
      <c r="C473" s="30"/>
    </row>
    <row r="474" ht="15.75" customHeight="1">
      <c r="C474" s="30"/>
    </row>
    <row r="475" ht="15.75" customHeight="1">
      <c r="C475" s="30"/>
    </row>
    <row r="476" ht="15.75" customHeight="1">
      <c r="C476" s="30"/>
    </row>
    <row r="477" ht="15.75" customHeight="1">
      <c r="C477" s="30"/>
    </row>
    <row r="478" ht="15.75" customHeight="1">
      <c r="C478" s="30"/>
    </row>
    <row r="479" ht="15.75" customHeight="1">
      <c r="C479" s="30"/>
    </row>
    <row r="480" ht="15.75" customHeight="1">
      <c r="C480" s="30"/>
    </row>
    <row r="481" ht="15.75" customHeight="1">
      <c r="C481" s="30"/>
    </row>
    <row r="482" ht="15.75" customHeight="1">
      <c r="C482" s="30"/>
    </row>
    <row r="483" ht="15.75" customHeight="1">
      <c r="C483" s="30"/>
    </row>
    <row r="484" ht="15.75" customHeight="1">
      <c r="C484" s="30"/>
    </row>
    <row r="485" ht="15.75" customHeight="1">
      <c r="C485" s="30"/>
    </row>
    <row r="486" ht="15.75" customHeight="1">
      <c r="C486" s="30"/>
    </row>
    <row r="487" ht="15.75" customHeight="1">
      <c r="C487" s="30"/>
    </row>
    <row r="488" ht="15.75" customHeight="1">
      <c r="C488" s="30"/>
    </row>
    <row r="489" ht="15.75" customHeight="1">
      <c r="C489" s="30"/>
    </row>
    <row r="490" ht="15.75" customHeight="1">
      <c r="C490" s="30"/>
    </row>
    <row r="491" ht="15.75" customHeight="1">
      <c r="C491" s="30"/>
    </row>
    <row r="492" ht="15.75" customHeight="1">
      <c r="C492" s="30"/>
    </row>
    <row r="493" ht="15.75" customHeight="1">
      <c r="C493" s="30"/>
    </row>
    <row r="494" ht="15.75" customHeight="1">
      <c r="C494" s="30"/>
    </row>
    <row r="495" ht="15.75" customHeight="1">
      <c r="C495" s="30"/>
    </row>
    <row r="496" ht="15.75" customHeight="1">
      <c r="C496" s="30"/>
    </row>
    <row r="497" ht="15.75" customHeight="1">
      <c r="C497" s="30"/>
    </row>
    <row r="498" ht="15.75" customHeight="1">
      <c r="C498" s="30"/>
    </row>
    <row r="499" ht="15.75" customHeight="1">
      <c r="C499" s="30"/>
    </row>
    <row r="500" ht="15.75" customHeight="1">
      <c r="C500" s="30"/>
    </row>
    <row r="501" ht="15.75" customHeight="1">
      <c r="C501" s="30"/>
    </row>
    <row r="502" ht="15.75" customHeight="1">
      <c r="C502" s="30"/>
    </row>
    <row r="503" ht="15.75" customHeight="1">
      <c r="C503" s="30"/>
    </row>
    <row r="504" ht="15.75" customHeight="1">
      <c r="C504" s="30"/>
    </row>
    <row r="505" ht="15.75" customHeight="1">
      <c r="C505" s="30"/>
    </row>
    <row r="506" ht="15.75" customHeight="1">
      <c r="C506" s="30"/>
    </row>
    <row r="507" ht="15.75" customHeight="1">
      <c r="C507" s="30"/>
    </row>
    <row r="508" ht="15.75" customHeight="1">
      <c r="C508" s="30"/>
    </row>
    <row r="509" ht="15.75" customHeight="1">
      <c r="C509" s="30"/>
    </row>
    <row r="510" ht="15.75" customHeight="1">
      <c r="C510" s="30"/>
    </row>
    <row r="511" ht="15.75" customHeight="1">
      <c r="C511" s="30"/>
    </row>
    <row r="512" ht="15.75" customHeight="1">
      <c r="C512" s="30"/>
    </row>
    <row r="513" ht="15.75" customHeight="1">
      <c r="C513" s="30"/>
    </row>
    <row r="514" ht="15.75" customHeight="1">
      <c r="C514" s="30"/>
    </row>
    <row r="515" ht="15.75" customHeight="1">
      <c r="C515" s="30"/>
    </row>
    <row r="516" ht="15.75" customHeight="1">
      <c r="C516" s="30"/>
    </row>
    <row r="517" ht="15.75" customHeight="1">
      <c r="C517" s="30"/>
    </row>
    <row r="518" ht="15.75" customHeight="1">
      <c r="C518" s="30"/>
    </row>
    <row r="519" ht="15.75" customHeight="1">
      <c r="C519" s="30"/>
    </row>
    <row r="520" ht="15.75" customHeight="1">
      <c r="C520" s="30"/>
    </row>
    <row r="521" ht="15.75" customHeight="1">
      <c r="C521" s="30"/>
    </row>
    <row r="522" ht="15.75" customHeight="1">
      <c r="C522" s="30"/>
    </row>
    <row r="523" ht="15.75" customHeight="1">
      <c r="C523" s="30"/>
    </row>
    <row r="524" ht="15.75" customHeight="1">
      <c r="C524" s="30"/>
    </row>
    <row r="525" ht="15.75" customHeight="1">
      <c r="C525" s="30"/>
    </row>
    <row r="526" ht="15.75" customHeight="1">
      <c r="C526" s="30"/>
    </row>
    <row r="527" ht="15.75" customHeight="1">
      <c r="C527" s="30"/>
    </row>
    <row r="528" ht="15.75" customHeight="1">
      <c r="C528" s="30"/>
    </row>
    <row r="529" ht="15.75" customHeight="1">
      <c r="C529" s="30"/>
    </row>
    <row r="530" ht="15.75" customHeight="1">
      <c r="C530" s="30"/>
    </row>
    <row r="531" ht="15.75" customHeight="1">
      <c r="C531" s="30"/>
    </row>
    <row r="532" ht="15.75" customHeight="1">
      <c r="C532" s="30"/>
    </row>
    <row r="533" ht="15.75" customHeight="1">
      <c r="C533" s="30"/>
    </row>
    <row r="534" ht="15.75" customHeight="1">
      <c r="C534" s="30"/>
    </row>
    <row r="535" ht="15.75" customHeight="1">
      <c r="C535" s="30"/>
    </row>
    <row r="536" ht="15.75" customHeight="1">
      <c r="C536" s="30"/>
    </row>
    <row r="537" ht="15.75" customHeight="1">
      <c r="C537" s="30"/>
    </row>
    <row r="538" ht="15.75" customHeight="1">
      <c r="C538" s="30"/>
    </row>
    <row r="539" ht="15.75" customHeight="1">
      <c r="C539" s="30"/>
    </row>
    <row r="540" ht="15.75" customHeight="1">
      <c r="C540" s="30"/>
    </row>
    <row r="541" ht="15.75" customHeight="1">
      <c r="C541" s="30"/>
    </row>
    <row r="542" ht="15.75" customHeight="1">
      <c r="C542" s="30"/>
    </row>
    <row r="543" ht="15.75" customHeight="1">
      <c r="C543" s="30"/>
    </row>
    <row r="544" ht="15.75" customHeight="1">
      <c r="C544" s="30"/>
    </row>
    <row r="545" ht="15.75" customHeight="1">
      <c r="C545" s="30"/>
    </row>
    <row r="546" ht="15.75" customHeight="1">
      <c r="C546" s="30"/>
    </row>
    <row r="547" ht="15.75" customHeight="1">
      <c r="C547" s="30"/>
    </row>
    <row r="548" ht="15.75" customHeight="1">
      <c r="C548" s="30"/>
    </row>
    <row r="549" ht="15.75" customHeight="1">
      <c r="C549" s="30"/>
    </row>
    <row r="550" ht="15.75" customHeight="1">
      <c r="C550" s="30"/>
    </row>
    <row r="551" ht="15.75" customHeight="1">
      <c r="C551" s="30"/>
    </row>
    <row r="552" ht="15.75" customHeight="1">
      <c r="C552" s="30"/>
    </row>
    <row r="553" ht="15.75" customHeight="1">
      <c r="C553" s="30"/>
    </row>
    <row r="554" ht="15.75" customHeight="1">
      <c r="C554" s="30"/>
    </row>
    <row r="555" ht="15.75" customHeight="1">
      <c r="C555" s="30"/>
    </row>
    <row r="556" ht="15.75" customHeight="1">
      <c r="C556" s="30"/>
    </row>
    <row r="557" ht="15.75" customHeight="1">
      <c r="C557" s="30"/>
    </row>
    <row r="558" ht="15.75" customHeight="1">
      <c r="C558" s="30"/>
    </row>
    <row r="559" ht="15.75" customHeight="1">
      <c r="C559" s="30"/>
    </row>
    <row r="560" ht="15.75" customHeight="1">
      <c r="C560" s="30"/>
    </row>
    <row r="561" ht="15.75" customHeight="1">
      <c r="C561" s="30"/>
    </row>
    <row r="562" ht="15.75" customHeight="1">
      <c r="C562" s="30"/>
    </row>
    <row r="563" ht="15.75" customHeight="1">
      <c r="C563" s="30"/>
    </row>
    <row r="564" ht="15.75" customHeight="1">
      <c r="C564" s="30"/>
    </row>
    <row r="565" ht="15.75" customHeight="1">
      <c r="C565" s="30"/>
    </row>
    <row r="566" ht="15.75" customHeight="1">
      <c r="C566" s="30"/>
    </row>
    <row r="567" ht="15.75" customHeight="1">
      <c r="C567" s="30"/>
    </row>
    <row r="568" ht="15.75" customHeight="1">
      <c r="C568" s="30"/>
    </row>
    <row r="569" ht="15.75" customHeight="1">
      <c r="C569" s="30"/>
    </row>
    <row r="570" ht="15.75" customHeight="1">
      <c r="C570" s="30"/>
    </row>
    <row r="571" ht="15.75" customHeight="1">
      <c r="C571" s="30"/>
    </row>
    <row r="572" ht="15.75" customHeight="1">
      <c r="C572" s="30"/>
    </row>
    <row r="573" ht="15.75" customHeight="1">
      <c r="C573" s="30"/>
    </row>
    <row r="574" ht="15.75" customHeight="1">
      <c r="C574" s="30"/>
    </row>
    <row r="575" ht="15.75" customHeight="1">
      <c r="C575" s="30"/>
    </row>
    <row r="576" ht="15.75" customHeight="1">
      <c r="C576" s="30"/>
    </row>
    <row r="577" ht="15.75" customHeight="1">
      <c r="C577" s="30"/>
    </row>
    <row r="578" ht="15.75" customHeight="1">
      <c r="C578" s="30"/>
    </row>
    <row r="579" ht="15.75" customHeight="1">
      <c r="C579" s="30"/>
    </row>
    <row r="580" ht="15.75" customHeight="1">
      <c r="C580" s="30"/>
    </row>
    <row r="581" ht="15.75" customHeight="1">
      <c r="C581" s="30"/>
    </row>
    <row r="582" ht="15.75" customHeight="1">
      <c r="C582" s="30"/>
    </row>
    <row r="583" ht="15.75" customHeight="1">
      <c r="C583" s="30"/>
    </row>
    <row r="584" ht="15.75" customHeight="1">
      <c r="C584" s="30"/>
    </row>
    <row r="585" ht="15.75" customHeight="1">
      <c r="C585" s="30"/>
    </row>
    <row r="586" ht="15.75" customHeight="1">
      <c r="C586" s="30"/>
    </row>
    <row r="587" ht="15.75" customHeight="1">
      <c r="C587" s="30"/>
    </row>
    <row r="588" ht="15.75" customHeight="1">
      <c r="C588" s="30"/>
    </row>
    <row r="589" ht="15.75" customHeight="1">
      <c r="C589" s="30"/>
    </row>
    <row r="590" ht="15.75" customHeight="1">
      <c r="C590" s="30"/>
    </row>
    <row r="591" ht="15.75" customHeight="1">
      <c r="C591" s="30"/>
    </row>
    <row r="592" ht="15.75" customHeight="1">
      <c r="C592" s="30"/>
    </row>
    <row r="593" ht="15.75" customHeight="1">
      <c r="C593" s="30"/>
    </row>
    <row r="594" ht="15.75" customHeight="1">
      <c r="C594" s="30"/>
    </row>
    <row r="595" ht="15.75" customHeight="1">
      <c r="C595" s="30"/>
    </row>
    <row r="596" ht="15.75" customHeight="1">
      <c r="C596" s="30"/>
    </row>
    <row r="597" ht="15.75" customHeight="1">
      <c r="C597" s="30"/>
    </row>
    <row r="598" ht="15.75" customHeight="1">
      <c r="C598" s="30"/>
    </row>
    <row r="599" ht="15.75" customHeight="1">
      <c r="C599" s="30"/>
    </row>
    <row r="600" ht="15.75" customHeight="1">
      <c r="C600" s="30"/>
    </row>
    <row r="601" ht="15.75" customHeight="1">
      <c r="C601" s="30"/>
    </row>
    <row r="602" ht="15.75" customHeight="1">
      <c r="C602" s="30"/>
    </row>
    <row r="603" ht="15.75" customHeight="1">
      <c r="C603" s="30"/>
    </row>
    <row r="604" ht="15.75" customHeight="1">
      <c r="C604" s="30"/>
    </row>
    <row r="605" ht="15.75" customHeight="1">
      <c r="C605" s="30"/>
    </row>
    <row r="606" ht="15.75" customHeight="1">
      <c r="C606" s="30"/>
    </row>
    <row r="607" ht="15.75" customHeight="1">
      <c r="C607" s="30"/>
    </row>
    <row r="608" ht="15.75" customHeight="1">
      <c r="C608" s="30"/>
    </row>
    <row r="609" ht="15.75" customHeight="1">
      <c r="C609" s="30"/>
    </row>
    <row r="610" ht="15.75" customHeight="1">
      <c r="C610" s="30"/>
    </row>
    <row r="611" ht="15.75" customHeight="1">
      <c r="C611" s="30"/>
    </row>
    <row r="612" ht="15.75" customHeight="1">
      <c r="C612" s="30"/>
    </row>
    <row r="613" ht="15.75" customHeight="1">
      <c r="C613" s="30"/>
    </row>
    <row r="614" ht="15.75" customHeight="1">
      <c r="C614" s="30"/>
    </row>
    <row r="615" ht="15.75" customHeight="1">
      <c r="C615" s="30"/>
    </row>
    <row r="616" ht="15.75" customHeight="1">
      <c r="C616" s="30"/>
    </row>
    <row r="617" ht="15.75" customHeight="1">
      <c r="C617" s="30"/>
    </row>
    <row r="618" ht="15.75" customHeight="1">
      <c r="C618" s="30"/>
    </row>
    <row r="619" ht="15.75" customHeight="1">
      <c r="C619" s="30"/>
    </row>
    <row r="620" ht="15.75" customHeight="1">
      <c r="C620" s="30"/>
    </row>
    <row r="621" ht="15.75" customHeight="1">
      <c r="C621" s="30"/>
    </row>
    <row r="622" ht="15.75" customHeight="1">
      <c r="C622" s="30"/>
    </row>
    <row r="623" ht="15.75" customHeight="1">
      <c r="C623" s="30"/>
    </row>
    <row r="624" ht="15.75" customHeight="1">
      <c r="C624" s="30"/>
    </row>
    <row r="625" ht="15.75" customHeight="1">
      <c r="C625" s="30"/>
    </row>
    <row r="626" ht="15.75" customHeight="1">
      <c r="C626" s="30"/>
    </row>
    <row r="627" ht="15.75" customHeight="1">
      <c r="C627" s="30"/>
    </row>
    <row r="628" ht="15.75" customHeight="1">
      <c r="C628" s="30"/>
    </row>
    <row r="629" ht="15.75" customHeight="1">
      <c r="C629" s="30"/>
    </row>
    <row r="630" ht="15.75" customHeight="1">
      <c r="C630" s="30"/>
    </row>
    <row r="631" ht="15.75" customHeight="1">
      <c r="C631" s="30"/>
    </row>
    <row r="632" ht="15.75" customHeight="1">
      <c r="C632" s="30"/>
    </row>
    <row r="633" ht="15.75" customHeight="1">
      <c r="C633" s="30"/>
    </row>
    <row r="634" ht="15.75" customHeight="1">
      <c r="C634" s="30"/>
    </row>
    <row r="635" ht="15.75" customHeight="1">
      <c r="C635" s="30"/>
    </row>
    <row r="636" ht="15.75" customHeight="1">
      <c r="C636" s="30"/>
    </row>
    <row r="637" ht="15.75" customHeight="1">
      <c r="C637" s="30"/>
    </row>
    <row r="638" ht="15.75" customHeight="1">
      <c r="C638" s="30"/>
    </row>
    <row r="639" ht="15.75" customHeight="1">
      <c r="C639" s="30"/>
    </row>
    <row r="640" ht="15.75" customHeight="1">
      <c r="C640" s="30"/>
    </row>
    <row r="641" ht="15.75" customHeight="1">
      <c r="C641" s="30"/>
    </row>
    <row r="642" ht="15.75" customHeight="1">
      <c r="C642" s="30"/>
    </row>
    <row r="643" ht="15.75" customHeight="1">
      <c r="C643" s="30"/>
    </row>
    <row r="644" ht="15.75" customHeight="1">
      <c r="C644" s="30"/>
    </row>
    <row r="645" ht="15.75" customHeight="1">
      <c r="C645" s="30"/>
    </row>
    <row r="646" ht="15.75" customHeight="1">
      <c r="C646" s="30"/>
    </row>
    <row r="647" ht="15.75" customHeight="1">
      <c r="C647" s="30"/>
    </row>
    <row r="648" ht="15.75" customHeight="1">
      <c r="C648" s="30"/>
    </row>
    <row r="649" ht="15.75" customHeight="1">
      <c r="C649" s="30"/>
    </row>
    <row r="650" ht="15.75" customHeight="1">
      <c r="C650" s="30"/>
    </row>
    <row r="651" ht="15.75" customHeight="1">
      <c r="C651" s="30"/>
    </row>
    <row r="652" ht="15.75" customHeight="1">
      <c r="C652" s="30"/>
    </row>
    <row r="653" ht="15.75" customHeight="1">
      <c r="C653" s="30"/>
    </row>
    <row r="654" ht="15.75" customHeight="1">
      <c r="C654" s="30"/>
    </row>
    <row r="655" ht="15.75" customHeight="1">
      <c r="C655" s="30"/>
    </row>
    <row r="656" ht="15.75" customHeight="1">
      <c r="C656" s="30"/>
    </row>
    <row r="657" ht="15.75" customHeight="1">
      <c r="C657" s="30"/>
    </row>
    <row r="658" ht="15.75" customHeight="1">
      <c r="C658" s="30"/>
    </row>
    <row r="659" ht="15.75" customHeight="1">
      <c r="C659" s="30"/>
    </row>
    <row r="660" ht="15.75" customHeight="1">
      <c r="C660" s="30"/>
    </row>
    <row r="661" ht="15.75" customHeight="1">
      <c r="C661" s="30"/>
    </row>
    <row r="662" ht="15.75" customHeight="1">
      <c r="C662" s="30"/>
    </row>
    <row r="663" ht="15.75" customHeight="1">
      <c r="C663" s="30"/>
    </row>
    <row r="664" ht="15.75" customHeight="1">
      <c r="C664" s="30"/>
    </row>
    <row r="665" ht="15.75" customHeight="1">
      <c r="C665" s="30"/>
    </row>
    <row r="666" ht="15.75" customHeight="1">
      <c r="C666" s="30"/>
    </row>
    <row r="667" ht="15.75" customHeight="1">
      <c r="C667" s="30"/>
    </row>
    <row r="668" ht="15.75" customHeight="1">
      <c r="C668" s="30"/>
    </row>
    <row r="669" ht="15.75" customHeight="1">
      <c r="C669" s="30"/>
    </row>
    <row r="670" ht="15.75" customHeight="1">
      <c r="C670" s="30"/>
    </row>
    <row r="671" ht="15.75" customHeight="1">
      <c r="C671" s="30"/>
    </row>
    <row r="672" ht="15.75" customHeight="1">
      <c r="C672" s="30"/>
    </row>
    <row r="673" ht="15.75" customHeight="1">
      <c r="C673" s="30"/>
    </row>
    <row r="674" ht="15.75" customHeight="1">
      <c r="C674" s="30"/>
    </row>
    <row r="675" ht="15.75" customHeight="1">
      <c r="C675" s="30"/>
    </row>
    <row r="676" ht="15.75" customHeight="1">
      <c r="C676" s="30"/>
    </row>
    <row r="677" ht="15.75" customHeight="1">
      <c r="C677" s="30"/>
    </row>
    <row r="678" ht="15.75" customHeight="1">
      <c r="C678" s="30"/>
    </row>
    <row r="679" ht="15.75" customHeight="1">
      <c r="C679" s="30"/>
    </row>
    <row r="680" ht="15.75" customHeight="1">
      <c r="C680" s="30"/>
    </row>
    <row r="681" ht="15.75" customHeight="1">
      <c r="C681" s="30"/>
    </row>
    <row r="682" ht="15.75" customHeight="1">
      <c r="C682" s="30"/>
    </row>
    <row r="683" ht="15.75" customHeight="1">
      <c r="C683" s="30"/>
    </row>
    <row r="684" ht="15.75" customHeight="1">
      <c r="C684" s="30"/>
    </row>
    <row r="685" ht="15.75" customHeight="1">
      <c r="C685" s="30"/>
    </row>
    <row r="686" ht="15.75" customHeight="1">
      <c r="C686" s="30"/>
    </row>
    <row r="687" ht="15.75" customHeight="1">
      <c r="C687" s="30"/>
    </row>
    <row r="688" ht="15.75" customHeight="1">
      <c r="C688" s="30"/>
    </row>
    <row r="689" ht="15.75" customHeight="1">
      <c r="C689" s="30"/>
    </row>
    <row r="690" ht="15.75" customHeight="1">
      <c r="C690" s="30"/>
    </row>
    <row r="691" ht="15.75" customHeight="1">
      <c r="C691" s="30"/>
    </row>
    <row r="692" ht="15.75" customHeight="1">
      <c r="C692" s="30"/>
    </row>
    <row r="693" ht="15.75" customHeight="1">
      <c r="C693" s="30"/>
    </row>
    <row r="694" ht="15.75" customHeight="1">
      <c r="C694" s="30"/>
    </row>
    <row r="695" ht="15.75" customHeight="1">
      <c r="C695" s="30"/>
    </row>
    <row r="696" ht="15.75" customHeight="1">
      <c r="C696" s="30"/>
    </row>
    <row r="697" ht="15.75" customHeight="1">
      <c r="C697" s="30"/>
    </row>
    <row r="698" ht="15.75" customHeight="1">
      <c r="C698" s="30"/>
    </row>
    <row r="699" ht="15.75" customHeight="1">
      <c r="C699" s="30"/>
    </row>
    <row r="700" ht="15.75" customHeight="1">
      <c r="C700" s="30"/>
    </row>
    <row r="701" ht="15.75" customHeight="1">
      <c r="C701" s="30"/>
    </row>
    <row r="702" ht="15.75" customHeight="1">
      <c r="C702" s="30"/>
    </row>
    <row r="703" ht="15.75" customHeight="1">
      <c r="C703" s="30"/>
    </row>
    <row r="704" ht="15.75" customHeight="1">
      <c r="C704" s="30"/>
    </row>
    <row r="705" ht="15.75" customHeight="1">
      <c r="C705" s="30"/>
    </row>
    <row r="706" ht="15.75" customHeight="1">
      <c r="C706" s="30"/>
    </row>
    <row r="707" ht="15.75" customHeight="1">
      <c r="C707" s="30"/>
    </row>
    <row r="708" ht="15.75" customHeight="1">
      <c r="C708" s="30"/>
    </row>
    <row r="709" ht="15.75" customHeight="1">
      <c r="C709" s="30"/>
    </row>
    <row r="710" ht="15.75" customHeight="1">
      <c r="C710" s="30"/>
    </row>
    <row r="711" ht="15.75" customHeight="1">
      <c r="C711" s="30"/>
    </row>
    <row r="712" ht="15.75" customHeight="1">
      <c r="C712" s="30"/>
    </row>
    <row r="713" ht="15.75" customHeight="1">
      <c r="C713" s="30"/>
    </row>
    <row r="714" ht="15.75" customHeight="1">
      <c r="C714" s="30"/>
    </row>
    <row r="715" ht="15.75" customHeight="1">
      <c r="C715" s="30"/>
    </row>
    <row r="716" ht="15.75" customHeight="1">
      <c r="C716" s="30"/>
    </row>
    <row r="717" ht="15.75" customHeight="1">
      <c r="C717" s="30"/>
    </row>
    <row r="718" ht="15.75" customHeight="1">
      <c r="C718" s="30"/>
    </row>
    <row r="719" ht="15.75" customHeight="1">
      <c r="C719" s="30"/>
    </row>
    <row r="720" ht="15.75" customHeight="1">
      <c r="C720" s="30"/>
    </row>
    <row r="721" ht="15.75" customHeight="1">
      <c r="C721" s="30"/>
    </row>
    <row r="722" ht="15.75" customHeight="1">
      <c r="C722" s="30"/>
    </row>
    <row r="723" ht="15.75" customHeight="1">
      <c r="C723" s="30"/>
    </row>
    <row r="724" ht="15.75" customHeight="1">
      <c r="C724" s="30"/>
    </row>
    <row r="725" ht="15.75" customHeight="1">
      <c r="C725" s="30"/>
    </row>
    <row r="726" ht="15.75" customHeight="1">
      <c r="C726" s="30"/>
    </row>
    <row r="727" ht="15.75" customHeight="1">
      <c r="C727" s="30"/>
    </row>
    <row r="728" ht="15.75" customHeight="1">
      <c r="C728" s="30"/>
    </row>
    <row r="729" ht="15.75" customHeight="1">
      <c r="C729" s="30"/>
    </row>
    <row r="730" ht="15.75" customHeight="1">
      <c r="C730" s="30"/>
    </row>
    <row r="731" ht="15.75" customHeight="1">
      <c r="C731" s="30"/>
    </row>
    <row r="732" ht="15.75" customHeight="1">
      <c r="C732" s="30"/>
    </row>
    <row r="733" ht="15.75" customHeight="1">
      <c r="C733" s="30"/>
    </row>
    <row r="734" ht="15.75" customHeight="1">
      <c r="C734" s="30"/>
    </row>
    <row r="735" ht="15.75" customHeight="1">
      <c r="C735" s="30"/>
    </row>
    <row r="736" ht="15.75" customHeight="1">
      <c r="C736" s="30"/>
    </row>
    <row r="737" ht="15.75" customHeight="1">
      <c r="C737" s="30"/>
    </row>
    <row r="738" ht="15.75" customHeight="1">
      <c r="C738" s="30"/>
    </row>
    <row r="739" ht="15.75" customHeight="1">
      <c r="C739" s="30"/>
    </row>
    <row r="740" ht="15.75" customHeight="1">
      <c r="C740" s="30"/>
    </row>
    <row r="741" ht="15.75" customHeight="1">
      <c r="C741" s="30"/>
    </row>
    <row r="742" ht="15.75" customHeight="1">
      <c r="C742" s="30"/>
    </row>
    <row r="743" ht="15.75" customHeight="1">
      <c r="C743" s="30"/>
    </row>
    <row r="744" ht="15.75" customHeight="1">
      <c r="C744" s="30"/>
    </row>
    <row r="745" ht="15.75" customHeight="1">
      <c r="C745" s="30"/>
    </row>
    <row r="746" ht="15.75" customHeight="1">
      <c r="C746" s="30"/>
    </row>
    <row r="747" ht="15.75" customHeight="1">
      <c r="C747" s="30"/>
    </row>
    <row r="748" ht="15.75" customHeight="1">
      <c r="C748" s="30"/>
    </row>
    <row r="749" ht="15.75" customHeight="1">
      <c r="C749" s="30"/>
    </row>
    <row r="750" ht="15.75" customHeight="1">
      <c r="C750" s="30"/>
    </row>
    <row r="751" ht="15.75" customHeight="1">
      <c r="C751" s="30"/>
    </row>
    <row r="752" ht="15.75" customHeight="1">
      <c r="C752" s="30"/>
    </row>
    <row r="753" ht="15.75" customHeight="1">
      <c r="C753" s="30"/>
    </row>
    <row r="754" ht="15.75" customHeight="1">
      <c r="C754" s="30"/>
    </row>
    <row r="755" ht="15.75" customHeight="1">
      <c r="C755" s="30"/>
    </row>
    <row r="756" ht="15.75" customHeight="1">
      <c r="C756" s="30"/>
    </row>
    <row r="757" ht="15.75" customHeight="1">
      <c r="C757" s="30"/>
    </row>
    <row r="758" ht="15.75" customHeight="1">
      <c r="C758" s="30"/>
    </row>
    <row r="759" ht="15.75" customHeight="1">
      <c r="C759" s="30"/>
    </row>
    <row r="760" ht="15.75" customHeight="1">
      <c r="C760" s="30"/>
    </row>
    <row r="761" ht="15.75" customHeight="1">
      <c r="C761" s="30"/>
    </row>
    <row r="762" ht="15.75" customHeight="1">
      <c r="C762" s="30"/>
    </row>
    <row r="763" ht="15.75" customHeight="1">
      <c r="C763" s="30"/>
    </row>
    <row r="764" ht="15.75" customHeight="1">
      <c r="C764" s="30"/>
    </row>
    <row r="765" ht="15.75" customHeight="1">
      <c r="C765" s="30"/>
    </row>
    <row r="766" ht="15.75" customHeight="1">
      <c r="C766" s="30"/>
    </row>
    <row r="767" ht="15.75" customHeight="1">
      <c r="C767" s="30"/>
    </row>
    <row r="768" ht="15.75" customHeight="1">
      <c r="C768" s="30"/>
    </row>
    <row r="769" ht="15.75" customHeight="1">
      <c r="C769" s="30"/>
    </row>
    <row r="770" ht="15.75" customHeight="1">
      <c r="C770" s="30"/>
    </row>
    <row r="771" ht="15.75" customHeight="1">
      <c r="C771" s="30"/>
    </row>
    <row r="772" ht="15.75" customHeight="1">
      <c r="C772" s="30"/>
    </row>
    <row r="773" ht="15.75" customHeight="1">
      <c r="C773" s="30"/>
    </row>
    <row r="774" ht="15.75" customHeight="1">
      <c r="C774" s="30"/>
    </row>
    <row r="775" ht="15.75" customHeight="1">
      <c r="C775" s="30"/>
    </row>
    <row r="776" ht="15.75" customHeight="1">
      <c r="C776" s="30"/>
    </row>
    <row r="777" ht="15.75" customHeight="1">
      <c r="C777" s="30"/>
    </row>
    <row r="778" ht="15.75" customHeight="1">
      <c r="C778" s="30"/>
    </row>
    <row r="779" ht="15.75" customHeight="1">
      <c r="C779" s="30"/>
    </row>
    <row r="780" ht="15.75" customHeight="1">
      <c r="C780" s="30"/>
    </row>
    <row r="781" ht="15.75" customHeight="1">
      <c r="C781" s="30"/>
    </row>
    <row r="782" ht="15.75" customHeight="1">
      <c r="C782" s="30"/>
    </row>
    <row r="783" ht="15.75" customHeight="1">
      <c r="C783" s="30"/>
    </row>
    <row r="784" ht="15.75" customHeight="1">
      <c r="C784" s="30"/>
    </row>
    <row r="785" ht="15.75" customHeight="1">
      <c r="C785" s="30"/>
    </row>
    <row r="786" ht="15.75" customHeight="1">
      <c r="C786" s="30"/>
    </row>
    <row r="787" ht="15.75" customHeight="1">
      <c r="C787" s="30"/>
    </row>
    <row r="788" ht="15.75" customHeight="1">
      <c r="C788" s="30"/>
    </row>
    <row r="789" ht="15.75" customHeight="1">
      <c r="C789" s="30"/>
    </row>
    <row r="790" ht="15.75" customHeight="1">
      <c r="C790" s="30"/>
    </row>
    <row r="791" ht="15.75" customHeight="1">
      <c r="C791" s="30"/>
    </row>
    <row r="792" ht="15.75" customHeight="1">
      <c r="C792" s="30"/>
    </row>
    <row r="793" ht="15.75" customHeight="1">
      <c r="C793" s="30"/>
    </row>
    <row r="794" ht="15.75" customHeight="1">
      <c r="C794" s="30"/>
    </row>
    <row r="795" ht="15.75" customHeight="1">
      <c r="C795" s="30"/>
    </row>
    <row r="796" ht="15.75" customHeight="1">
      <c r="C796" s="30"/>
    </row>
    <row r="797" ht="15.75" customHeight="1">
      <c r="C797" s="30"/>
    </row>
    <row r="798" ht="15.75" customHeight="1">
      <c r="C798" s="30"/>
    </row>
    <row r="799" ht="15.75" customHeight="1">
      <c r="C799" s="30"/>
    </row>
    <row r="800" ht="15.75" customHeight="1">
      <c r="C800" s="30"/>
    </row>
    <row r="801" ht="15.75" customHeight="1">
      <c r="C801" s="30"/>
    </row>
    <row r="802" ht="15.75" customHeight="1">
      <c r="C802" s="30"/>
    </row>
    <row r="803" ht="15.75" customHeight="1">
      <c r="C803" s="30"/>
    </row>
    <row r="804" ht="15.75" customHeight="1">
      <c r="C804" s="30"/>
    </row>
    <row r="805" ht="15.75" customHeight="1">
      <c r="C805" s="30"/>
    </row>
    <row r="806" ht="15.75" customHeight="1">
      <c r="C806" s="30"/>
    </row>
    <row r="807" ht="15.75" customHeight="1">
      <c r="C807" s="30"/>
    </row>
    <row r="808" ht="15.75" customHeight="1">
      <c r="C808" s="30"/>
    </row>
    <row r="809" ht="15.75" customHeight="1">
      <c r="C809" s="30"/>
    </row>
    <row r="810" ht="15.75" customHeight="1">
      <c r="C810" s="30"/>
    </row>
    <row r="811" ht="15.75" customHeight="1">
      <c r="C811" s="30"/>
    </row>
    <row r="812" ht="15.75" customHeight="1">
      <c r="C812" s="30"/>
    </row>
    <row r="813" ht="15.75" customHeight="1">
      <c r="C813" s="30"/>
    </row>
    <row r="814" ht="15.75" customHeight="1">
      <c r="C814" s="30"/>
    </row>
    <row r="815" ht="15.75" customHeight="1">
      <c r="C815" s="30"/>
    </row>
    <row r="816" ht="15.75" customHeight="1">
      <c r="C816" s="30"/>
    </row>
    <row r="817" ht="15.75" customHeight="1">
      <c r="C817" s="30"/>
    </row>
    <row r="818" ht="15.75" customHeight="1">
      <c r="C818" s="30"/>
    </row>
    <row r="819" ht="15.75" customHeight="1">
      <c r="C819" s="30"/>
    </row>
    <row r="820" ht="15.75" customHeight="1">
      <c r="C820" s="30"/>
    </row>
    <row r="821" ht="15.75" customHeight="1">
      <c r="C821" s="30"/>
    </row>
    <row r="822" ht="15.75" customHeight="1">
      <c r="C822" s="30"/>
    </row>
    <row r="823" ht="15.75" customHeight="1">
      <c r="C823" s="30"/>
    </row>
    <row r="824" ht="15.75" customHeight="1">
      <c r="C824" s="30"/>
    </row>
    <row r="825" ht="15.75" customHeight="1">
      <c r="C825" s="30"/>
    </row>
    <row r="826" ht="15.75" customHeight="1">
      <c r="C826" s="30"/>
    </row>
    <row r="827" ht="15.75" customHeight="1">
      <c r="C827" s="30"/>
    </row>
    <row r="828" ht="15.75" customHeight="1">
      <c r="C828" s="30"/>
    </row>
    <row r="829" ht="15.75" customHeight="1">
      <c r="C829" s="30"/>
    </row>
    <row r="830" ht="15.75" customHeight="1">
      <c r="C830" s="30"/>
    </row>
    <row r="831" ht="15.75" customHeight="1">
      <c r="C831" s="30"/>
    </row>
    <row r="832" ht="15.75" customHeight="1">
      <c r="C832" s="30"/>
    </row>
    <row r="833" ht="15.75" customHeight="1">
      <c r="C833" s="30"/>
    </row>
    <row r="834" ht="15.75" customHeight="1">
      <c r="C834" s="30"/>
    </row>
    <row r="835" ht="15.75" customHeight="1">
      <c r="C835" s="30"/>
    </row>
    <row r="836" ht="15.75" customHeight="1">
      <c r="C836" s="30"/>
    </row>
    <row r="837" ht="15.75" customHeight="1">
      <c r="C837" s="30"/>
    </row>
    <row r="838" ht="15.75" customHeight="1">
      <c r="C838" s="30"/>
    </row>
    <row r="839" ht="15.75" customHeight="1">
      <c r="C839" s="30"/>
    </row>
    <row r="840" ht="15.75" customHeight="1">
      <c r="C840" s="30"/>
    </row>
    <row r="841" ht="15.75" customHeight="1">
      <c r="C841" s="30"/>
    </row>
    <row r="842" ht="15.75" customHeight="1">
      <c r="C842" s="30"/>
    </row>
    <row r="843" ht="15.75" customHeight="1">
      <c r="C843" s="30"/>
    </row>
    <row r="844" ht="15.75" customHeight="1">
      <c r="C844" s="30"/>
    </row>
    <row r="845" ht="15.75" customHeight="1">
      <c r="C845" s="30"/>
    </row>
    <row r="846" ht="15.75" customHeight="1">
      <c r="C846" s="30"/>
    </row>
    <row r="847" ht="15.75" customHeight="1">
      <c r="C847" s="30"/>
    </row>
    <row r="848" ht="15.75" customHeight="1">
      <c r="C848" s="30"/>
    </row>
    <row r="849" ht="15.75" customHeight="1">
      <c r="C849" s="30"/>
    </row>
    <row r="850" ht="15.75" customHeight="1">
      <c r="C850" s="30"/>
    </row>
    <row r="851" ht="15.75" customHeight="1">
      <c r="C851" s="30"/>
    </row>
    <row r="852" ht="15.75" customHeight="1">
      <c r="C852" s="30"/>
    </row>
    <row r="853" ht="15.75" customHeight="1">
      <c r="C853" s="30"/>
    </row>
    <row r="854" ht="15.75" customHeight="1">
      <c r="C854" s="30"/>
    </row>
    <row r="855" ht="15.75" customHeight="1">
      <c r="C855" s="30"/>
    </row>
    <row r="856" ht="15.75" customHeight="1">
      <c r="C856" s="30"/>
    </row>
    <row r="857" ht="15.75" customHeight="1">
      <c r="C857" s="30"/>
    </row>
    <row r="858" ht="15.75" customHeight="1">
      <c r="C858" s="30"/>
    </row>
    <row r="859" ht="15.75" customHeight="1">
      <c r="C859" s="30"/>
    </row>
    <row r="860" ht="15.75" customHeight="1">
      <c r="C860" s="30"/>
    </row>
    <row r="861" ht="15.75" customHeight="1">
      <c r="C861" s="30"/>
    </row>
    <row r="862" ht="15.75" customHeight="1">
      <c r="C862" s="30"/>
    </row>
    <row r="863" ht="15.75" customHeight="1">
      <c r="C863" s="30"/>
    </row>
    <row r="864" ht="15.75" customHeight="1">
      <c r="C864" s="30"/>
    </row>
    <row r="865" ht="15.75" customHeight="1">
      <c r="C865" s="30"/>
    </row>
    <row r="866" ht="15.75" customHeight="1">
      <c r="C866" s="30"/>
    </row>
    <row r="867" ht="15.75" customHeight="1">
      <c r="C867" s="30"/>
    </row>
    <row r="868" ht="15.75" customHeight="1">
      <c r="C868" s="30"/>
    </row>
    <row r="869" ht="15.75" customHeight="1">
      <c r="C869" s="30"/>
    </row>
    <row r="870" ht="15.75" customHeight="1">
      <c r="C870" s="30"/>
    </row>
    <row r="871" ht="15.75" customHeight="1">
      <c r="C871" s="30"/>
    </row>
    <row r="872" ht="15.75" customHeight="1">
      <c r="C872" s="30"/>
    </row>
    <row r="873" ht="15.75" customHeight="1">
      <c r="C873" s="30"/>
    </row>
    <row r="874" ht="15.75" customHeight="1">
      <c r="C874" s="30"/>
    </row>
    <row r="875" ht="15.75" customHeight="1">
      <c r="C875" s="30"/>
    </row>
    <row r="876" ht="15.75" customHeight="1">
      <c r="C876" s="30"/>
    </row>
    <row r="877" ht="15.75" customHeight="1">
      <c r="C877" s="30"/>
    </row>
    <row r="878" ht="15.75" customHeight="1">
      <c r="C878" s="30"/>
    </row>
    <row r="879" ht="15.75" customHeight="1">
      <c r="C879" s="30"/>
    </row>
    <row r="880" ht="15.75" customHeight="1">
      <c r="C880" s="30"/>
    </row>
    <row r="881" ht="15.75" customHeight="1">
      <c r="C881" s="30"/>
    </row>
    <row r="882" ht="15.75" customHeight="1">
      <c r="C882" s="30"/>
    </row>
    <row r="883" ht="15.75" customHeight="1">
      <c r="C883" s="30"/>
    </row>
    <row r="884" ht="15.75" customHeight="1">
      <c r="C884" s="30"/>
    </row>
    <row r="885" ht="15.75" customHeight="1">
      <c r="C885" s="30"/>
    </row>
    <row r="886" ht="15.75" customHeight="1">
      <c r="C886" s="30"/>
    </row>
    <row r="887" ht="15.75" customHeight="1">
      <c r="C887" s="30"/>
    </row>
    <row r="888" ht="15.75" customHeight="1">
      <c r="C888" s="30"/>
    </row>
    <row r="889" ht="15.75" customHeight="1">
      <c r="C889" s="30"/>
    </row>
    <row r="890" ht="15.75" customHeight="1">
      <c r="C890" s="30"/>
    </row>
    <row r="891" ht="15.75" customHeight="1">
      <c r="C891" s="30"/>
    </row>
    <row r="892" ht="15.75" customHeight="1">
      <c r="C892" s="30"/>
    </row>
    <row r="893" ht="15.75" customHeight="1">
      <c r="C893" s="30"/>
    </row>
    <row r="894" ht="15.75" customHeight="1">
      <c r="C894" s="30"/>
    </row>
    <row r="895" ht="15.75" customHeight="1">
      <c r="C895" s="30"/>
    </row>
    <row r="896" ht="15.75" customHeight="1">
      <c r="C896" s="30"/>
    </row>
    <row r="897" ht="15.75" customHeight="1">
      <c r="C897" s="30"/>
    </row>
    <row r="898" ht="15.75" customHeight="1">
      <c r="C898" s="30"/>
    </row>
    <row r="899" ht="15.75" customHeight="1">
      <c r="C899" s="30"/>
    </row>
    <row r="900" ht="15.75" customHeight="1">
      <c r="C900" s="30"/>
    </row>
    <row r="901" ht="15.75" customHeight="1">
      <c r="C901" s="30"/>
    </row>
    <row r="902" ht="15.75" customHeight="1">
      <c r="C902" s="30"/>
    </row>
    <row r="903" ht="15.75" customHeight="1">
      <c r="C903" s="30"/>
    </row>
    <row r="904" ht="15.75" customHeight="1">
      <c r="C904" s="30"/>
    </row>
    <row r="905" ht="15.75" customHeight="1">
      <c r="C905" s="30"/>
    </row>
    <row r="906" ht="15.75" customHeight="1">
      <c r="C906" s="30"/>
    </row>
    <row r="907" ht="15.75" customHeight="1">
      <c r="C907" s="30"/>
    </row>
    <row r="908" ht="15.75" customHeight="1">
      <c r="C908" s="30"/>
    </row>
    <row r="909" ht="15.75" customHeight="1">
      <c r="C909" s="30"/>
    </row>
    <row r="910" ht="15.75" customHeight="1">
      <c r="C910" s="30"/>
    </row>
    <row r="911" ht="15.75" customHeight="1">
      <c r="C911" s="30"/>
    </row>
    <row r="912" ht="15.75" customHeight="1">
      <c r="C912" s="30"/>
    </row>
    <row r="913" ht="15.75" customHeight="1">
      <c r="C913" s="30"/>
    </row>
    <row r="914" ht="15.75" customHeight="1">
      <c r="C914" s="30"/>
    </row>
    <row r="915" ht="15.75" customHeight="1">
      <c r="C915" s="30"/>
    </row>
    <row r="916" ht="15.75" customHeight="1">
      <c r="C916" s="30"/>
    </row>
    <row r="917" ht="15.75" customHeight="1">
      <c r="C917" s="30"/>
    </row>
    <row r="918" ht="15.75" customHeight="1">
      <c r="C918" s="30"/>
    </row>
    <row r="919" ht="15.75" customHeight="1">
      <c r="C919" s="30"/>
    </row>
    <row r="920" ht="15.75" customHeight="1">
      <c r="C920" s="30"/>
    </row>
    <row r="921" ht="15.75" customHeight="1">
      <c r="C921" s="30"/>
    </row>
    <row r="922" ht="15.75" customHeight="1">
      <c r="C922" s="30"/>
    </row>
    <row r="923" ht="15.75" customHeight="1">
      <c r="C923" s="30"/>
    </row>
    <row r="924" ht="15.75" customHeight="1">
      <c r="C924" s="30"/>
    </row>
    <row r="925" ht="15.75" customHeight="1">
      <c r="C925" s="30"/>
    </row>
    <row r="926" ht="15.75" customHeight="1">
      <c r="C926" s="30"/>
    </row>
    <row r="927" ht="15.75" customHeight="1">
      <c r="C927" s="30"/>
    </row>
    <row r="928" ht="15.75" customHeight="1">
      <c r="C928" s="30"/>
    </row>
    <row r="929" ht="15.75" customHeight="1">
      <c r="C929" s="30"/>
    </row>
    <row r="930" ht="15.75" customHeight="1">
      <c r="C930" s="30"/>
    </row>
    <row r="931" ht="15.75" customHeight="1">
      <c r="C931" s="30"/>
    </row>
    <row r="932" ht="15.75" customHeight="1">
      <c r="C932" s="30"/>
    </row>
    <row r="933" ht="15.75" customHeight="1">
      <c r="C933" s="30"/>
    </row>
    <row r="934" ht="15.75" customHeight="1">
      <c r="C934" s="30"/>
    </row>
    <row r="935" ht="15.75" customHeight="1">
      <c r="C935" s="30"/>
    </row>
    <row r="936" ht="15.75" customHeight="1">
      <c r="C936" s="30"/>
    </row>
    <row r="937" ht="15.75" customHeight="1">
      <c r="C937" s="30"/>
    </row>
    <row r="938" ht="15.75" customHeight="1">
      <c r="C938" s="30"/>
    </row>
    <row r="939" ht="15.75" customHeight="1">
      <c r="C939" s="30"/>
    </row>
    <row r="940" ht="15.75" customHeight="1">
      <c r="C940" s="30"/>
    </row>
    <row r="941" ht="15.75" customHeight="1">
      <c r="C941" s="30"/>
    </row>
    <row r="942" ht="15.75" customHeight="1">
      <c r="C942" s="30"/>
    </row>
    <row r="943" ht="15.75" customHeight="1">
      <c r="C943" s="30"/>
    </row>
    <row r="944" ht="15.75" customHeight="1">
      <c r="C944" s="30"/>
    </row>
    <row r="945" ht="15.75" customHeight="1">
      <c r="C945" s="30"/>
    </row>
    <row r="946" ht="15.75" customHeight="1">
      <c r="C946" s="30"/>
    </row>
    <row r="947" ht="15.75" customHeight="1">
      <c r="C947" s="30"/>
    </row>
    <row r="948" ht="15.75" customHeight="1">
      <c r="C948" s="30"/>
    </row>
    <row r="949" ht="15.75" customHeight="1">
      <c r="C949" s="30"/>
    </row>
    <row r="950" ht="15.75" customHeight="1">
      <c r="C950" s="30"/>
    </row>
    <row r="951" ht="15.75" customHeight="1">
      <c r="C951" s="30"/>
    </row>
    <row r="952" ht="15.75" customHeight="1">
      <c r="C952" s="30"/>
    </row>
    <row r="953" ht="15.75" customHeight="1">
      <c r="C953" s="30"/>
    </row>
    <row r="954" ht="15.75" customHeight="1">
      <c r="C954" s="30"/>
    </row>
    <row r="955" ht="15.75" customHeight="1">
      <c r="C955" s="30"/>
    </row>
    <row r="956" ht="15.75" customHeight="1">
      <c r="C956" s="30"/>
    </row>
    <row r="957" ht="15.75" customHeight="1">
      <c r="C957" s="30"/>
    </row>
    <row r="958" ht="15.75" customHeight="1">
      <c r="C958" s="30"/>
    </row>
    <row r="959" ht="15.75" customHeight="1">
      <c r="C959" s="30"/>
    </row>
    <row r="960" ht="15.75" customHeight="1">
      <c r="C960" s="30"/>
    </row>
    <row r="961" ht="15.75" customHeight="1">
      <c r="C961" s="30"/>
    </row>
    <row r="962" ht="15.75" customHeight="1">
      <c r="C962" s="30"/>
    </row>
    <row r="963" ht="15.75" customHeight="1">
      <c r="C963" s="30"/>
    </row>
    <row r="964" ht="15.75" customHeight="1">
      <c r="C964" s="30"/>
    </row>
    <row r="965" ht="15.75" customHeight="1">
      <c r="C965" s="30"/>
    </row>
    <row r="966" ht="15.75" customHeight="1">
      <c r="C966" s="30"/>
    </row>
    <row r="967" ht="15.75" customHeight="1">
      <c r="C967" s="30"/>
    </row>
    <row r="968" ht="15.75" customHeight="1">
      <c r="C968" s="30"/>
    </row>
    <row r="969" ht="15.75" customHeight="1">
      <c r="C969" s="30"/>
    </row>
    <row r="970" ht="15.75" customHeight="1">
      <c r="C970" s="30"/>
    </row>
    <row r="971" ht="15.75" customHeight="1">
      <c r="C971" s="30"/>
    </row>
    <row r="972" ht="15.75" customHeight="1">
      <c r="C972" s="30"/>
    </row>
    <row r="973" ht="15.75" customHeight="1">
      <c r="C973" s="30"/>
    </row>
    <row r="974" ht="15.75" customHeight="1">
      <c r="C974" s="30"/>
    </row>
    <row r="975" ht="15.75" customHeight="1">
      <c r="C975" s="30"/>
    </row>
    <row r="976" ht="15.75" customHeight="1">
      <c r="C976" s="30"/>
    </row>
    <row r="977" ht="15.75" customHeight="1">
      <c r="C977" s="30"/>
    </row>
    <row r="978" ht="15.75" customHeight="1">
      <c r="C978" s="30"/>
    </row>
    <row r="979" ht="15.75" customHeight="1">
      <c r="C979" s="30"/>
    </row>
    <row r="980" ht="15.75" customHeight="1">
      <c r="C980" s="30"/>
    </row>
    <row r="981" ht="15.75" customHeight="1">
      <c r="C981" s="30"/>
    </row>
    <row r="982" ht="15.75" customHeight="1">
      <c r="C982" s="30"/>
    </row>
    <row r="983" ht="15.75" customHeight="1">
      <c r="C983" s="30"/>
    </row>
    <row r="984" ht="15.75" customHeight="1">
      <c r="C984" s="30"/>
    </row>
    <row r="985" ht="15.75" customHeight="1">
      <c r="C985" s="30"/>
    </row>
    <row r="986" ht="15.75" customHeight="1">
      <c r="C986" s="30"/>
    </row>
    <row r="987" ht="15.75" customHeight="1">
      <c r="C987" s="30"/>
    </row>
    <row r="988" ht="15.75" customHeight="1">
      <c r="C988" s="30"/>
    </row>
    <row r="989" ht="15.75" customHeight="1">
      <c r="C989" s="30"/>
    </row>
    <row r="990" ht="15.75" customHeight="1">
      <c r="C990" s="30"/>
    </row>
    <row r="991" ht="15.75" customHeight="1">
      <c r="C991" s="30"/>
    </row>
    <row r="992" ht="15.75" customHeight="1">
      <c r="C992" s="30"/>
    </row>
    <row r="993" ht="15.75" customHeight="1">
      <c r="C993" s="30"/>
    </row>
    <row r="994" ht="15.75" customHeight="1">
      <c r="C994" s="30"/>
    </row>
    <row r="995" ht="15.75" customHeight="1">
      <c r="C995" s="30"/>
    </row>
    <row r="996" ht="15.75" customHeight="1">
      <c r="C996" s="30"/>
    </row>
    <row r="997" ht="15.75" customHeight="1">
      <c r="C997" s="30"/>
    </row>
    <row r="998" ht="15.75" customHeight="1">
      <c r="C998" s="30"/>
    </row>
    <row r="999" ht="15.75" customHeight="1">
      <c r="C999" s="30"/>
    </row>
    <row r="1000" ht="15.75" customHeight="1">
      <c r="C1000" s="30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9.43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19.43"/>
    <col customWidth="1" min="23" max="23" width="4.0"/>
    <col customWidth="1" min="24" max="24" width="3.0"/>
    <col customWidth="1" min="25" max="25" width="21.14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8" t="s">
        <v>327</v>
      </c>
      <c r="W1" s="99"/>
      <c r="X1" s="98"/>
      <c r="Y1" s="98" t="s">
        <v>322</v>
      </c>
      <c r="Z1" s="99"/>
    </row>
    <row r="2" ht="12.75" customHeight="1">
      <c r="A2" s="9" t="s">
        <v>6</v>
      </c>
      <c r="B2" s="10" t="s">
        <v>345</v>
      </c>
      <c r="C2" s="14"/>
      <c r="D2" s="9" t="s">
        <v>7</v>
      </c>
      <c r="E2" s="10">
        <v>8.0</v>
      </c>
      <c r="F2" s="14" t="s">
        <v>9</v>
      </c>
      <c r="G2" s="5" t="s">
        <v>8</v>
      </c>
      <c r="H2" s="10" t="s">
        <v>345</v>
      </c>
      <c r="I2" s="14"/>
      <c r="J2" s="9" t="s">
        <v>10</v>
      </c>
      <c r="K2" s="10">
        <v>12.0</v>
      </c>
      <c r="L2" s="14" t="s">
        <v>9</v>
      </c>
      <c r="M2" s="5" t="s">
        <v>11</v>
      </c>
      <c r="N2" s="10">
        <v>29.0</v>
      </c>
      <c r="O2" s="14" t="s">
        <v>9</v>
      </c>
      <c r="P2" s="1" t="s">
        <v>12</v>
      </c>
      <c r="Q2" s="10">
        <v>18.0</v>
      </c>
      <c r="R2" s="14" t="s">
        <v>9</v>
      </c>
      <c r="S2" s="5" t="s">
        <v>13</v>
      </c>
      <c r="T2" s="9"/>
      <c r="U2" s="9"/>
      <c r="V2" s="100" t="s">
        <v>154</v>
      </c>
      <c r="W2" s="101">
        <v>20.0</v>
      </c>
      <c r="X2" s="100"/>
      <c r="Y2" s="100" t="s">
        <v>12</v>
      </c>
      <c r="Z2" s="101">
        <v>29.0</v>
      </c>
    </row>
    <row r="3" ht="12.75" customHeight="1">
      <c r="A3" s="9"/>
      <c r="B3" s="10">
        <v>12.0</v>
      </c>
      <c r="C3" s="14" t="s">
        <v>9</v>
      </c>
      <c r="D3" s="1" t="s">
        <v>14</v>
      </c>
      <c r="E3" s="10" t="s">
        <v>345</v>
      </c>
      <c r="F3" s="14"/>
      <c r="G3" s="12" t="s">
        <v>15</v>
      </c>
      <c r="H3" s="10">
        <v>12.0</v>
      </c>
      <c r="I3" s="14" t="s">
        <v>9</v>
      </c>
      <c r="J3" s="1" t="s">
        <v>16</v>
      </c>
      <c r="K3" s="10" t="s">
        <v>345</v>
      </c>
      <c r="L3" s="14"/>
      <c r="M3" s="9" t="s">
        <v>17</v>
      </c>
      <c r="N3" s="10" t="s">
        <v>345</v>
      </c>
      <c r="O3" s="14"/>
      <c r="P3" s="9" t="s">
        <v>166</v>
      </c>
      <c r="Q3" s="10" t="s">
        <v>345</v>
      </c>
      <c r="R3" s="14"/>
      <c r="S3" s="9" t="s">
        <v>346</v>
      </c>
      <c r="T3" s="9"/>
      <c r="U3" s="9"/>
      <c r="V3" s="100" t="s">
        <v>172</v>
      </c>
      <c r="W3" s="101">
        <v>0.0</v>
      </c>
      <c r="X3" s="100"/>
      <c r="Y3" s="100" t="s">
        <v>31</v>
      </c>
      <c r="Z3" s="101">
        <v>0.0</v>
      </c>
    </row>
    <row r="4" ht="12.75" customHeight="1">
      <c r="A4" s="9"/>
      <c r="B4" s="10" t="s">
        <v>345</v>
      </c>
      <c r="C4" s="14"/>
      <c r="D4" s="12" t="s">
        <v>20</v>
      </c>
      <c r="E4" s="10" t="s">
        <v>345</v>
      </c>
      <c r="F4" s="14"/>
      <c r="G4" s="12" t="s">
        <v>165</v>
      </c>
      <c r="H4" s="10" t="s">
        <v>345</v>
      </c>
      <c r="I4" s="14"/>
      <c r="J4" s="12" t="s">
        <v>22</v>
      </c>
      <c r="K4" s="10" t="s">
        <v>345</v>
      </c>
      <c r="L4" s="14"/>
      <c r="M4" s="12" t="s">
        <v>23</v>
      </c>
      <c r="N4" s="10" t="s">
        <v>345</v>
      </c>
      <c r="O4" s="14"/>
      <c r="P4" s="9" t="s">
        <v>18</v>
      </c>
      <c r="Q4" s="10" t="s">
        <v>345</v>
      </c>
      <c r="R4" s="14"/>
      <c r="S4" s="12" t="s">
        <v>347</v>
      </c>
      <c r="T4" s="9"/>
      <c r="U4" s="9"/>
      <c r="V4" s="100" t="s">
        <v>178</v>
      </c>
      <c r="W4" s="101">
        <v>16.0</v>
      </c>
      <c r="X4" s="100"/>
      <c r="Y4" s="100" t="s">
        <v>348</v>
      </c>
      <c r="Z4" s="101">
        <v>6.0</v>
      </c>
    </row>
    <row r="5" ht="12.75" customHeight="1">
      <c r="A5" s="9"/>
      <c r="B5" s="10"/>
      <c r="C5" s="3"/>
      <c r="D5" s="9"/>
      <c r="E5" s="10"/>
      <c r="F5" s="3"/>
      <c r="G5" s="9"/>
      <c r="H5" s="10" t="s">
        <v>345</v>
      </c>
      <c r="I5" s="3"/>
      <c r="J5" s="9"/>
      <c r="K5" s="10"/>
      <c r="L5" s="3"/>
      <c r="M5" s="9"/>
      <c r="N5" s="10"/>
      <c r="O5" s="3"/>
      <c r="P5" s="9"/>
      <c r="Q5" s="10"/>
      <c r="R5" s="26"/>
      <c r="S5" s="9"/>
      <c r="T5" s="9"/>
      <c r="U5" s="9"/>
      <c r="V5" s="100" t="s">
        <v>202</v>
      </c>
      <c r="W5" s="101">
        <v>0.0</v>
      </c>
      <c r="X5" s="100"/>
      <c r="Y5" s="100" t="s">
        <v>56</v>
      </c>
      <c r="Z5" s="101">
        <v>0.0</v>
      </c>
    </row>
    <row r="6" ht="12.75" customHeight="1">
      <c r="A6" s="9" t="s">
        <v>26</v>
      </c>
      <c r="B6" s="10">
        <v>6.0</v>
      </c>
      <c r="C6" s="14" t="s">
        <v>9</v>
      </c>
      <c r="D6" s="1" t="s">
        <v>27</v>
      </c>
      <c r="E6" s="10">
        <v>0.0</v>
      </c>
      <c r="F6" s="14" t="s">
        <v>9</v>
      </c>
      <c r="G6" s="1" t="s">
        <v>28</v>
      </c>
      <c r="H6" s="10">
        <v>6.0</v>
      </c>
      <c r="I6" s="14" t="s">
        <v>9</v>
      </c>
      <c r="J6" s="5" t="s">
        <v>29</v>
      </c>
      <c r="K6" s="10">
        <v>6.0</v>
      </c>
      <c r="L6" s="14" t="s">
        <v>9</v>
      </c>
      <c r="M6" s="5" t="s">
        <v>30</v>
      </c>
      <c r="N6" s="10">
        <v>0.0</v>
      </c>
      <c r="O6" s="14" t="s">
        <v>9</v>
      </c>
      <c r="P6" s="1" t="s">
        <v>31</v>
      </c>
      <c r="Q6" s="10">
        <v>6.0</v>
      </c>
      <c r="R6" s="14" t="s">
        <v>9</v>
      </c>
      <c r="S6" s="5" t="s">
        <v>32</v>
      </c>
      <c r="T6" s="9"/>
      <c r="U6" s="9"/>
      <c r="V6" s="100" t="s">
        <v>349</v>
      </c>
      <c r="W6" s="101">
        <v>0.0</v>
      </c>
      <c r="X6" s="100"/>
      <c r="Y6" s="100" t="s">
        <v>350</v>
      </c>
      <c r="Z6" s="101">
        <v>0.0</v>
      </c>
    </row>
    <row r="7" ht="12.75" customHeight="1">
      <c r="A7" s="9"/>
      <c r="B7" s="10" t="s">
        <v>345</v>
      </c>
      <c r="C7" s="14"/>
      <c r="D7" s="12" t="s">
        <v>33</v>
      </c>
      <c r="E7" s="10" t="s">
        <v>345</v>
      </c>
      <c r="F7" s="14"/>
      <c r="G7" s="12" t="s">
        <v>34</v>
      </c>
      <c r="H7" s="10">
        <v>0.0</v>
      </c>
      <c r="I7" s="14" t="s">
        <v>9</v>
      </c>
      <c r="J7" s="5" t="s">
        <v>35</v>
      </c>
      <c r="K7" s="10">
        <v>0.0</v>
      </c>
      <c r="L7" s="14" t="s">
        <v>9</v>
      </c>
      <c r="M7" s="1" t="s">
        <v>36</v>
      </c>
      <c r="N7" s="10">
        <v>6.0</v>
      </c>
      <c r="O7" s="14" t="s">
        <v>9</v>
      </c>
      <c r="P7" s="1" t="s">
        <v>348</v>
      </c>
      <c r="Q7" s="10" t="s">
        <v>345</v>
      </c>
      <c r="R7" s="14"/>
      <c r="S7" s="12" t="s">
        <v>38</v>
      </c>
      <c r="T7" s="9"/>
      <c r="U7" s="9"/>
      <c r="V7" s="100" t="s">
        <v>220</v>
      </c>
      <c r="W7" s="101">
        <v>6.0</v>
      </c>
      <c r="X7" s="100"/>
      <c r="Y7" s="100" t="s">
        <v>81</v>
      </c>
      <c r="Z7" s="101">
        <v>0.0</v>
      </c>
    </row>
    <row r="8" ht="12.75" customHeight="1">
      <c r="A8" s="9"/>
      <c r="B8" s="10" t="s">
        <v>345</v>
      </c>
      <c r="C8" s="14"/>
      <c r="D8" s="12" t="s">
        <v>39</v>
      </c>
      <c r="E8" s="10">
        <v>0.0</v>
      </c>
      <c r="F8" s="14" t="s">
        <v>9</v>
      </c>
      <c r="G8" s="1" t="s">
        <v>351</v>
      </c>
      <c r="H8" s="10" t="s">
        <v>345</v>
      </c>
      <c r="I8" s="14"/>
      <c r="J8" s="9" t="s">
        <v>352</v>
      </c>
      <c r="K8" s="10" t="s">
        <v>345</v>
      </c>
      <c r="L8" s="14"/>
      <c r="M8" s="12" t="s">
        <v>42</v>
      </c>
      <c r="N8" s="10" t="s">
        <v>345</v>
      </c>
      <c r="O8" s="14"/>
      <c r="P8" s="25" t="s">
        <v>43</v>
      </c>
      <c r="Q8" s="10" t="s">
        <v>345</v>
      </c>
      <c r="R8" s="14"/>
      <c r="S8" s="18" t="s">
        <v>44</v>
      </c>
      <c r="T8" s="9"/>
      <c r="U8" s="9"/>
      <c r="V8" s="100" t="s">
        <v>238</v>
      </c>
      <c r="W8" s="101">
        <v>10.0</v>
      </c>
      <c r="X8" s="100"/>
      <c r="Y8" s="100" t="s">
        <v>101</v>
      </c>
      <c r="Z8" s="101">
        <v>10.0</v>
      </c>
    </row>
    <row r="9" ht="12.75" customHeight="1">
      <c r="A9" s="9"/>
      <c r="B9" s="10">
        <v>0.0</v>
      </c>
      <c r="C9" s="14" t="s">
        <v>9</v>
      </c>
      <c r="D9" s="5" t="s">
        <v>45</v>
      </c>
      <c r="E9" s="10" t="s">
        <v>345</v>
      </c>
      <c r="F9" s="14"/>
      <c r="G9" s="12" t="s">
        <v>46</v>
      </c>
      <c r="H9" s="10" t="s">
        <v>345</v>
      </c>
      <c r="I9" s="14"/>
      <c r="J9" s="12" t="s">
        <v>41</v>
      </c>
      <c r="K9" s="10" t="s">
        <v>345</v>
      </c>
      <c r="L9" s="14"/>
      <c r="M9" s="12" t="s">
        <v>48</v>
      </c>
      <c r="N9" s="10" t="s">
        <v>345</v>
      </c>
      <c r="O9" s="14"/>
      <c r="P9" s="25" t="s">
        <v>353</v>
      </c>
      <c r="Q9" s="10">
        <v>6.0</v>
      </c>
      <c r="R9" s="14" t="s">
        <v>9</v>
      </c>
      <c r="S9" s="5" t="s">
        <v>50</v>
      </c>
      <c r="T9" s="9"/>
      <c r="U9" s="9"/>
      <c r="V9" s="100" t="s">
        <v>250</v>
      </c>
      <c r="W9" s="101">
        <v>0.0</v>
      </c>
      <c r="X9" s="100"/>
      <c r="Y9" s="100" t="s">
        <v>114</v>
      </c>
      <c r="Z9" s="101">
        <v>3.0</v>
      </c>
    </row>
    <row r="10" ht="12.75" customHeight="1">
      <c r="A10" s="9"/>
      <c r="B10" s="10"/>
      <c r="C10" s="3"/>
      <c r="D10" s="9"/>
      <c r="E10" s="10"/>
      <c r="F10" s="3"/>
      <c r="G10" s="9"/>
      <c r="H10" s="10" t="s">
        <v>345</v>
      </c>
      <c r="I10" s="3"/>
      <c r="J10" s="9"/>
      <c r="K10" s="10"/>
      <c r="L10" s="3"/>
      <c r="M10" s="9"/>
      <c r="N10" s="10"/>
      <c r="O10" s="3"/>
      <c r="P10" s="9"/>
      <c r="Q10" s="10"/>
      <c r="R10" s="26"/>
      <c r="S10" s="9"/>
      <c r="T10" s="9"/>
      <c r="U10" s="9"/>
      <c r="V10" s="100" t="s">
        <v>268</v>
      </c>
      <c r="W10" s="101">
        <v>0.0</v>
      </c>
      <c r="X10" s="100"/>
      <c r="Y10" s="100" t="s">
        <v>127</v>
      </c>
      <c r="Z10" s="101">
        <v>4.0</v>
      </c>
    </row>
    <row r="11" ht="12.75" customHeight="1">
      <c r="A11" s="9" t="s">
        <v>51</v>
      </c>
      <c r="B11" s="10">
        <v>6.0</v>
      </c>
      <c r="C11" s="14" t="s">
        <v>9</v>
      </c>
      <c r="D11" s="1" t="s">
        <v>52</v>
      </c>
      <c r="E11" s="10" t="s">
        <v>345</v>
      </c>
      <c r="F11" s="14"/>
      <c r="G11" s="9" t="s">
        <v>53</v>
      </c>
      <c r="H11" s="10">
        <v>0.0</v>
      </c>
      <c r="I11" s="14" t="s">
        <v>9</v>
      </c>
      <c r="J11" s="1" t="s">
        <v>54</v>
      </c>
      <c r="K11" s="10">
        <v>10.0</v>
      </c>
      <c r="L11" s="14" t="s">
        <v>9</v>
      </c>
      <c r="M11" s="5" t="s">
        <v>55</v>
      </c>
      <c r="N11" s="10">
        <v>0.0</v>
      </c>
      <c r="O11" s="14" t="s">
        <v>9</v>
      </c>
      <c r="P11" s="1" t="s">
        <v>56</v>
      </c>
      <c r="Q11" s="10">
        <v>2.0</v>
      </c>
      <c r="R11" s="14" t="s">
        <v>9</v>
      </c>
      <c r="S11" s="5" t="s">
        <v>57</v>
      </c>
      <c r="T11" s="9"/>
      <c r="U11" s="9"/>
      <c r="V11" s="100"/>
      <c r="W11" s="101">
        <v>52.0</v>
      </c>
      <c r="X11" s="100"/>
      <c r="Y11" s="100"/>
      <c r="Z11" s="101">
        <v>52.0</v>
      </c>
    </row>
    <row r="12" ht="12.75" customHeight="1">
      <c r="A12" s="9"/>
      <c r="B12" s="10">
        <v>4.0</v>
      </c>
      <c r="C12" s="14" t="s">
        <v>9</v>
      </c>
      <c r="D12" s="1" t="s">
        <v>58</v>
      </c>
      <c r="E12" s="10">
        <v>0.0</v>
      </c>
      <c r="F12" s="14" t="s">
        <v>9</v>
      </c>
      <c r="G12" s="1" t="s">
        <v>59</v>
      </c>
      <c r="H12" s="10" t="s">
        <v>345</v>
      </c>
      <c r="I12" s="14"/>
      <c r="J12" s="12" t="s">
        <v>60</v>
      </c>
      <c r="K12" s="10" t="s">
        <v>345</v>
      </c>
      <c r="L12" s="14"/>
      <c r="M12" s="9" t="s">
        <v>61</v>
      </c>
      <c r="N12" s="10" t="s">
        <v>345</v>
      </c>
      <c r="O12" s="14"/>
      <c r="P12" s="9" t="s">
        <v>62</v>
      </c>
      <c r="Q12" s="10" t="s">
        <v>345</v>
      </c>
      <c r="R12" s="14"/>
      <c r="S12" s="9" t="s">
        <v>63</v>
      </c>
      <c r="T12" s="9"/>
      <c r="U12" s="9"/>
      <c r="V12" s="100"/>
      <c r="W12" s="101"/>
      <c r="X12" s="100"/>
      <c r="Y12" s="100"/>
      <c r="Z12" s="101"/>
    </row>
    <row r="13" ht="12.75" customHeight="1">
      <c r="A13" s="9"/>
      <c r="B13" s="10" t="s">
        <v>345</v>
      </c>
      <c r="C13" s="14"/>
      <c r="D13" s="12" t="s">
        <v>64</v>
      </c>
      <c r="E13" s="10" t="s">
        <v>345</v>
      </c>
      <c r="F13" s="14"/>
      <c r="G13" s="12" t="s">
        <v>354</v>
      </c>
      <c r="H13" s="10">
        <v>6.0</v>
      </c>
      <c r="I13" s="14" t="s">
        <v>9</v>
      </c>
      <c r="J13" s="5" t="s">
        <v>66</v>
      </c>
      <c r="K13" s="10" t="s">
        <v>345</v>
      </c>
      <c r="L13" s="14"/>
      <c r="M13" s="9" t="s">
        <v>67</v>
      </c>
      <c r="N13" s="10" t="s">
        <v>345</v>
      </c>
      <c r="O13" s="14"/>
      <c r="P13" s="9" t="s">
        <v>355</v>
      </c>
      <c r="Q13" s="10">
        <v>0.0</v>
      </c>
      <c r="R13" s="14" t="s">
        <v>9</v>
      </c>
      <c r="S13" s="102" t="s">
        <v>69</v>
      </c>
      <c r="T13" s="9"/>
      <c r="U13" s="9"/>
      <c r="V13" s="98" t="s">
        <v>319</v>
      </c>
      <c r="W13" s="99"/>
      <c r="X13" s="98"/>
      <c r="Y13" s="98" t="s">
        <v>302</v>
      </c>
      <c r="Z13" s="99"/>
    </row>
    <row r="14" ht="12.75" customHeight="1">
      <c r="A14" s="9"/>
      <c r="B14" s="10" t="s">
        <v>345</v>
      </c>
      <c r="C14" s="14"/>
      <c r="D14" s="12" t="s">
        <v>356</v>
      </c>
      <c r="E14" s="10">
        <v>0.0</v>
      </c>
      <c r="F14" s="14" t="s">
        <v>9</v>
      </c>
      <c r="G14" s="5" t="s">
        <v>71</v>
      </c>
      <c r="H14" s="10" t="s">
        <v>345</v>
      </c>
      <c r="I14" s="14"/>
      <c r="J14" s="5" t="s">
        <v>72</v>
      </c>
      <c r="K14" s="10">
        <v>12.0</v>
      </c>
      <c r="L14" s="14" t="s">
        <v>9</v>
      </c>
      <c r="M14" s="5" t="s">
        <v>73</v>
      </c>
      <c r="N14" s="10">
        <v>0.0</v>
      </c>
      <c r="O14" s="14" t="s">
        <v>9</v>
      </c>
      <c r="P14" s="5" t="s">
        <v>350</v>
      </c>
      <c r="Q14" s="10" t="s">
        <v>345</v>
      </c>
      <c r="R14" s="14"/>
      <c r="S14" s="12" t="s">
        <v>75</v>
      </c>
      <c r="T14" s="9"/>
      <c r="U14" s="9"/>
      <c r="V14" s="100" t="s">
        <v>8</v>
      </c>
      <c r="W14" s="101">
        <v>8.0</v>
      </c>
      <c r="X14" s="100"/>
      <c r="Y14" s="100" t="s">
        <v>14</v>
      </c>
      <c r="Z14" s="101">
        <v>12.0</v>
      </c>
    </row>
    <row r="15" ht="12.75" customHeight="1">
      <c r="A15" s="9"/>
      <c r="B15" s="10"/>
      <c r="C15" s="3"/>
      <c r="D15" s="9"/>
      <c r="E15" s="10"/>
      <c r="F15" s="3"/>
      <c r="G15" s="9"/>
      <c r="H15" s="10" t="s">
        <v>345</v>
      </c>
      <c r="I15" s="3"/>
      <c r="J15" s="9"/>
      <c r="K15" s="10"/>
      <c r="L15" s="3"/>
      <c r="M15" s="9"/>
      <c r="N15" s="10"/>
      <c r="O15" s="3"/>
      <c r="P15" s="9"/>
      <c r="Q15" s="10"/>
      <c r="R15" s="26"/>
      <c r="S15" s="9"/>
      <c r="T15" s="9"/>
      <c r="U15" s="9"/>
      <c r="V15" s="100" t="s">
        <v>28</v>
      </c>
      <c r="W15" s="101">
        <v>0.0</v>
      </c>
      <c r="X15" s="100"/>
      <c r="Y15" s="100" t="s">
        <v>27</v>
      </c>
      <c r="Z15" s="101">
        <v>6.0</v>
      </c>
    </row>
    <row r="16" ht="12.75" customHeight="1">
      <c r="A16" s="9" t="s">
        <v>76</v>
      </c>
      <c r="B16" s="10" t="s">
        <v>345</v>
      </c>
      <c r="C16" s="14"/>
      <c r="D16" s="9" t="s">
        <v>357</v>
      </c>
      <c r="E16" s="10">
        <v>3.0</v>
      </c>
      <c r="F16" s="14" t="s">
        <v>9</v>
      </c>
      <c r="G16" s="5" t="s">
        <v>78</v>
      </c>
      <c r="H16" s="10" t="s">
        <v>345</v>
      </c>
      <c r="I16" s="14"/>
      <c r="J16" s="9" t="s">
        <v>79</v>
      </c>
      <c r="K16" s="10">
        <v>6.0</v>
      </c>
      <c r="L16" s="14" t="s">
        <v>9</v>
      </c>
      <c r="M16" s="1" t="s">
        <v>86</v>
      </c>
      <c r="N16" s="10">
        <v>0.0</v>
      </c>
      <c r="O16" s="14" t="s">
        <v>9</v>
      </c>
      <c r="P16" s="5" t="s">
        <v>81</v>
      </c>
      <c r="Q16" s="10">
        <v>6.0</v>
      </c>
      <c r="R16" s="14" t="s">
        <v>9</v>
      </c>
      <c r="S16" s="1" t="s">
        <v>80</v>
      </c>
      <c r="T16" s="9"/>
      <c r="U16" s="9"/>
      <c r="V16" s="100" t="s">
        <v>351</v>
      </c>
      <c r="W16" s="101">
        <v>0.0</v>
      </c>
      <c r="X16" s="100"/>
      <c r="Y16" s="100" t="s">
        <v>45</v>
      </c>
      <c r="Z16" s="101">
        <v>0.0</v>
      </c>
    </row>
    <row r="17" ht="12.75" customHeight="1">
      <c r="A17" s="9"/>
      <c r="B17" s="10" t="s">
        <v>345</v>
      </c>
      <c r="C17" s="14"/>
      <c r="D17" s="12" t="s">
        <v>77</v>
      </c>
      <c r="E17" s="10" t="s">
        <v>345</v>
      </c>
      <c r="F17" s="14"/>
      <c r="G17" s="9" t="s">
        <v>358</v>
      </c>
      <c r="H17" s="10">
        <v>0.0</v>
      </c>
      <c r="I17" s="14" t="s">
        <v>9</v>
      </c>
      <c r="J17" s="1" t="s">
        <v>85</v>
      </c>
      <c r="K17" s="10" t="s">
        <v>345</v>
      </c>
      <c r="L17" s="14"/>
      <c r="M17" s="12" t="s">
        <v>88</v>
      </c>
      <c r="N17" s="10" t="s">
        <v>345</v>
      </c>
      <c r="O17" s="14"/>
      <c r="P17" s="9" t="s">
        <v>90</v>
      </c>
      <c r="Q17" s="10" t="s">
        <v>345</v>
      </c>
      <c r="R17" s="14"/>
      <c r="S17" s="12" t="s">
        <v>82</v>
      </c>
      <c r="T17" s="9"/>
      <c r="U17" s="9"/>
      <c r="V17" s="100" t="s">
        <v>59</v>
      </c>
      <c r="W17" s="101">
        <v>0.0</v>
      </c>
      <c r="X17" s="100"/>
      <c r="Y17" s="100" t="s">
        <v>52</v>
      </c>
      <c r="Z17" s="101">
        <v>6.0</v>
      </c>
    </row>
    <row r="18" ht="12.75" customHeight="1">
      <c r="A18" s="9"/>
      <c r="B18" s="10">
        <v>2.0</v>
      </c>
      <c r="C18" s="14" t="s">
        <v>9</v>
      </c>
      <c r="D18" s="5" t="s">
        <v>93</v>
      </c>
      <c r="E18" s="10" t="s">
        <v>345</v>
      </c>
      <c r="F18" s="14"/>
      <c r="G18" s="12" t="s">
        <v>359</v>
      </c>
      <c r="H18" s="10" t="s">
        <v>345</v>
      </c>
      <c r="I18" s="14"/>
      <c r="J18" s="12" t="s">
        <v>91</v>
      </c>
      <c r="K18" s="10" t="s">
        <v>345</v>
      </c>
      <c r="L18" s="14"/>
      <c r="M18" s="9" t="s">
        <v>92</v>
      </c>
      <c r="N18" s="10" t="s">
        <v>345</v>
      </c>
      <c r="O18" s="14"/>
      <c r="P18" s="12" t="s">
        <v>87</v>
      </c>
      <c r="Q18" s="10" t="s">
        <v>345</v>
      </c>
      <c r="R18" s="14"/>
      <c r="S18" s="12" t="s">
        <v>94</v>
      </c>
      <c r="T18" s="9"/>
      <c r="U18" s="9"/>
      <c r="V18" s="100" t="s">
        <v>71</v>
      </c>
      <c r="W18" s="101">
        <v>0.0</v>
      </c>
      <c r="X18" s="100"/>
      <c r="Y18" s="100" t="s">
        <v>58</v>
      </c>
      <c r="Z18" s="101">
        <v>4.0</v>
      </c>
    </row>
    <row r="19" ht="12.75" customHeight="1">
      <c r="A19" s="9"/>
      <c r="B19" s="10"/>
      <c r="C19" s="3"/>
      <c r="D19" s="9"/>
      <c r="E19" s="10"/>
      <c r="F19" s="3"/>
      <c r="G19" s="9"/>
      <c r="H19" s="10" t="s">
        <v>345</v>
      </c>
      <c r="I19" s="3"/>
      <c r="J19" s="9" t="s">
        <v>95</v>
      </c>
      <c r="K19" s="10"/>
      <c r="L19" s="3"/>
      <c r="M19" s="9"/>
      <c r="N19" s="10"/>
      <c r="O19" s="3"/>
      <c r="P19" s="9"/>
      <c r="Q19" s="10"/>
      <c r="R19" s="26"/>
      <c r="S19" s="9"/>
      <c r="T19" s="9"/>
      <c r="U19" s="9"/>
      <c r="V19" s="100" t="s">
        <v>78</v>
      </c>
      <c r="W19" s="101">
        <v>3.0</v>
      </c>
      <c r="X19" s="100"/>
      <c r="Y19" s="100" t="s">
        <v>93</v>
      </c>
      <c r="Z19" s="101">
        <v>2.0</v>
      </c>
    </row>
    <row r="20" ht="12.75" customHeight="1">
      <c r="A20" s="9" t="s">
        <v>96</v>
      </c>
      <c r="B20" s="10">
        <v>7.0</v>
      </c>
      <c r="C20" s="14" t="s">
        <v>9</v>
      </c>
      <c r="D20" s="5" t="s">
        <v>97</v>
      </c>
      <c r="E20" s="10" t="s">
        <v>345</v>
      </c>
      <c r="F20" s="14"/>
      <c r="G20" s="12" t="s">
        <v>98</v>
      </c>
      <c r="H20" s="10" t="s">
        <v>345</v>
      </c>
      <c r="I20" s="14"/>
      <c r="J20" s="9" t="s">
        <v>99</v>
      </c>
      <c r="K20" s="10" t="s">
        <v>345</v>
      </c>
      <c r="L20" s="14"/>
      <c r="M20" s="12" t="s">
        <v>100</v>
      </c>
      <c r="N20" s="10" t="s">
        <v>345</v>
      </c>
      <c r="O20" s="14"/>
      <c r="P20" s="9" t="s">
        <v>360</v>
      </c>
      <c r="Q20" s="10" t="s">
        <v>345</v>
      </c>
      <c r="R20" s="14"/>
      <c r="S20" s="12" t="s">
        <v>361</v>
      </c>
      <c r="T20" s="9"/>
      <c r="U20" s="9"/>
      <c r="V20" s="100" t="s">
        <v>104</v>
      </c>
      <c r="W20" s="101">
        <v>2.0</v>
      </c>
      <c r="X20" s="100"/>
      <c r="Y20" s="100" t="s">
        <v>97</v>
      </c>
      <c r="Z20" s="101">
        <v>7.0</v>
      </c>
    </row>
    <row r="21" ht="12.75" customHeight="1">
      <c r="A21" s="9"/>
      <c r="B21" s="10" t="s">
        <v>345</v>
      </c>
      <c r="C21" s="14"/>
      <c r="D21" s="9" t="s">
        <v>103</v>
      </c>
      <c r="E21" s="10">
        <v>2.0</v>
      </c>
      <c r="F21" s="14" t="s">
        <v>9</v>
      </c>
      <c r="G21" s="5" t="s">
        <v>104</v>
      </c>
      <c r="H21" s="10">
        <v>3.0</v>
      </c>
      <c r="I21" s="14" t="s">
        <v>9</v>
      </c>
      <c r="J21" s="1" t="s">
        <v>105</v>
      </c>
      <c r="K21" s="10">
        <v>6.0</v>
      </c>
      <c r="L21" s="14" t="s">
        <v>9</v>
      </c>
      <c r="M21" s="1" t="s">
        <v>106</v>
      </c>
      <c r="N21" s="10">
        <v>10.0</v>
      </c>
      <c r="O21" s="14" t="s">
        <v>9</v>
      </c>
      <c r="P21" s="1" t="s">
        <v>101</v>
      </c>
      <c r="Q21" s="10">
        <v>7.0</v>
      </c>
      <c r="R21" s="14" t="s">
        <v>9</v>
      </c>
      <c r="S21" s="1" t="s">
        <v>102</v>
      </c>
      <c r="T21" s="9"/>
      <c r="U21" s="9"/>
      <c r="V21" s="100" t="s">
        <v>117</v>
      </c>
      <c r="W21" s="101">
        <v>5.0</v>
      </c>
      <c r="X21" s="100"/>
      <c r="Y21" s="100" t="s">
        <v>116</v>
      </c>
      <c r="Z21" s="101">
        <v>14.0</v>
      </c>
    </row>
    <row r="22" ht="12.75" customHeight="1">
      <c r="A22" s="9"/>
      <c r="B22" s="10"/>
      <c r="C22" s="3"/>
      <c r="D22" s="9"/>
      <c r="E22" s="10"/>
      <c r="F22" s="3"/>
      <c r="G22" s="9"/>
      <c r="H22" s="10" t="s">
        <v>345</v>
      </c>
      <c r="I22" s="3"/>
      <c r="J22" s="9"/>
      <c r="K22" s="10"/>
      <c r="L22" s="3"/>
      <c r="M22" s="9"/>
      <c r="N22" s="10"/>
      <c r="O22" s="3"/>
      <c r="P22" s="9"/>
      <c r="Q22" s="10"/>
      <c r="R22" s="26"/>
      <c r="S22" s="9"/>
      <c r="T22" s="9"/>
      <c r="U22" s="9"/>
      <c r="V22" s="100" t="s">
        <v>124</v>
      </c>
      <c r="W22" s="101">
        <v>0.0</v>
      </c>
      <c r="X22" s="100"/>
      <c r="Y22" s="100" t="s">
        <v>123</v>
      </c>
      <c r="Z22" s="101">
        <v>4.0</v>
      </c>
    </row>
    <row r="23" ht="12.75" customHeight="1">
      <c r="A23" s="9" t="s">
        <v>109</v>
      </c>
      <c r="B23" s="10" t="s">
        <v>345</v>
      </c>
      <c r="C23" s="14"/>
      <c r="D23" s="9" t="s">
        <v>110</v>
      </c>
      <c r="E23" s="10" t="s">
        <v>345</v>
      </c>
      <c r="F23" s="14"/>
      <c r="G23" s="12" t="s">
        <v>111</v>
      </c>
      <c r="H23" s="10" t="s">
        <v>345</v>
      </c>
      <c r="I23" s="14"/>
      <c r="J23" s="9" t="s">
        <v>112</v>
      </c>
      <c r="K23" s="10">
        <v>13.0</v>
      </c>
      <c r="L23" s="14" t="s">
        <v>9</v>
      </c>
      <c r="M23" s="1" t="s">
        <v>113</v>
      </c>
      <c r="N23" s="10">
        <v>3.0</v>
      </c>
      <c r="O23" s="14" t="s">
        <v>9</v>
      </c>
      <c r="P23" s="1" t="s">
        <v>114</v>
      </c>
      <c r="Q23" s="10">
        <v>1.0</v>
      </c>
      <c r="R23" s="14" t="s">
        <v>9</v>
      </c>
      <c r="S23" s="5" t="s">
        <v>115</v>
      </c>
      <c r="T23" s="9"/>
      <c r="U23" s="9"/>
      <c r="V23" s="100"/>
      <c r="W23" s="101">
        <v>18.0</v>
      </c>
      <c r="X23" s="100"/>
      <c r="Y23" s="100"/>
      <c r="Z23" s="101">
        <v>55.0</v>
      </c>
    </row>
    <row r="24" ht="12.75" customHeight="1">
      <c r="A24" s="9"/>
      <c r="B24" s="10">
        <v>14.0</v>
      </c>
      <c r="C24" s="14" t="s">
        <v>9</v>
      </c>
      <c r="D24" s="1" t="s">
        <v>116</v>
      </c>
      <c r="E24" s="10">
        <v>5.0</v>
      </c>
      <c r="F24" s="14" t="s">
        <v>9</v>
      </c>
      <c r="G24" s="5" t="s">
        <v>117</v>
      </c>
      <c r="H24" s="10">
        <v>9.0</v>
      </c>
      <c r="I24" s="14" t="s">
        <v>9</v>
      </c>
      <c r="J24" s="1" t="s">
        <v>118</v>
      </c>
      <c r="K24" s="10" t="s">
        <v>345</v>
      </c>
      <c r="L24" s="14"/>
      <c r="M24" s="12" t="s">
        <v>121</v>
      </c>
      <c r="N24" s="10" t="s">
        <v>345</v>
      </c>
      <c r="O24" s="14"/>
      <c r="P24" s="9" t="s">
        <v>120</v>
      </c>
      <c r="Q24" s="10" t="s">
        <v>345</v>
      </c>
      <c r="R24" s="14"/>
      <c r="S24" s="12" t="s">
        <v>362</v>
      </c>
      <c r="T24" s="9"/>
      <c r="U24" s="9"/>
      <c r="V24" s="100"/>
      <c r="W24" s="101"/>
      <c r="X24" s="100"/>
      <c r="Y24" s="100"/>
      <c r="Z24" s="101"/>
    </row>
    <row r="25" ht="12.75" customHeight="1">
      <c r="A25" s="9"/>
      <c r="B25" s="10"/>
      <c r="C25" s="3"/>
      <c r="D25" s="9"/>
      <c r="E25" s="10"/>
      <c r="F25" s="3"/>
      <c r="G25" s="9"/>
      <c r="H25" s="10" t="s">
        <v>345</v>
      </c>
      <c r="I25" s="3"/>
      <c r="J25" s="9"/>
      <c r="K25" s="10"/>
      <c r="L25" s="3"/>
      <c r="M25" s="9"/>
      <c r="N25" s="10"/>
      <c r="O25" s="3"/>
      <c r="P25" s="9"/>
      <c r="Q25" s="10"/>
      <c r="R25" s="26"/>
      <c r="S25" s="9"/>
      <c r="T25" s="9"/>
      <c r="U25" s="9"/>
      <c r="V25" s="98" t="s">
        <v>321</v>
      </c>
      <c r="W25" s="99"/>
      <c r="X25" s="98"/>
      <c r="Y25" s="98" t="s">
        <v>324</v>
      </c>
      <c r="Z25" s="99"/>
    </row>
    <row r="26" ht="12.75" customHeight="1">
      <c r="A26" s="9" t="s">
        <v>122</v>
      </c>
      <c r="B26" s="10">
        <v>4.0</v>
      </c>
      <c r="C26" s="14" t="s">
        <v>9</v>
      </c>
      <c r="D26" s="5" t="s">
        <v>123</v>
      </c>
      <c r="E26" s="10">
        <v>0.0</v>
      </c>
      <c r="F26" s="14" t="s">
        <v>9</v>
      </c>
      <c r="G26" s="5" t="s">
        <v>124</v>
      </c>
      <c r="H26" s="10">
        <v>0.0</v>
      </c>
      <c r="I26" s="14" t="s">
        <v>9</v>
      </c>
      <c r="J26" s="1" t="s">
        <v>125</v>
      </c>
      <c r="K26" s="10">
        <v>5.0</v>
      </c>
      <c r="L26" s="14" t="s">
        <v>9</v>
      </c>
      <c r="M26" s="1" t="s">
        <v>126</v>
      </c>
      <c r="N26" s="10">
        <v>4.0</v>
      </c>
      <c r="O26" s="14" t="s">
        <v>9</v>
      </c>
      <c r="P26" s="1" t="s">
        <v>127</v>
      </c>
      <c r="Q26" s="10">
        <v>5.0</v>
      </c>
      <c r="R26" s="14" t="s">
        <v>9</v>
      </c>
      <c r="S26" s="5" t="s">
        <v>128</v>
      </c>
      <c r="T26" s="9"/>
      <c r="U26" s="9"/>
      <c r="V26" s="100" t="s">
        <v>11</v>
      </c>
      <c r="W26" s="101">
        <v>12.0</v>
      </c>
      <c r="X26" s="100"/>
      <c r="Y26" s="100" t="s">
        <v>151</v>
      </c>
      <c r="Z26" s="101">
        <v>22.0</v>
      </c>
    </row>
    <row r="27" ht="12.75" customHeight="1">
      <c r="A27" s="9"/>
      <c r="B27" s="10" t="s">
        <v>345</v>
      </c>
      <c r="C27" s="14"/>
      <c r="D27" s="9" t="s">
        <v>129</v>
      </c>
      <c r="E27" s="10" t="s">
        <v>345</v>
      </c>
      <c r="F27" s="14"/>
      <c r="G27" s="9" t="s">
        <v>130</v>
      </c>
      <c r="H27" s="10" t="s">
        <v>345</v>
      </c>
      <c r="I27" s="14"/>
      <c r="J27" s="12" t="s">
        <v>131</v>
      </c>
      <c r="K27" s="10" t="s">
        <v>345</v>
      </c>
      <c r="L27" s="14"/>
      <c r="M27" s="9" t="s">
        <v>132</v>
      </c>
      <c r="N27" s="10" t="s">
        <v>345</v>
      </c>
      <c r="O27" s="14"/>
      <c r="P27" s="12" t="s">
        <v>133</v>
      </c>
      <c r="Q27" s="10" t="s">
        <v>345</v>
      </c>
      <c r="R27" s="14"/>
      <c r="S27" s="9" t="s">
        <v>134</v>
      </c>
      <c r="T27" s="9"/>
      <c r="U27" s="9"/>
      <c r="V27" s="100" t="s">
        <v>30</v>
      </c>
      <c r="W27" s="101">
        <v>6.0</v>
      </c>
      <c r="X27" s="100"/>
      <c r="Y27" s="100" t="s">
        <v>169</v>
      </c>
      <c r="Z27" s="101">
        <v>0.0</v>
      </c>
    </row>
    <row r="28" ht="12.75" customHeight="1">
      <c r="A28" s="9"/>
      <c r="B28" s="2"/>
      <c r="C28" s="3"/>
      <c r="D28" s="9"/>
      <c r="E28" s="10"/>
      <c r="F28" s="3"/>
      <c r="G28" s="9"/>
      <c r="H28" s="10"/>
      <c r="I28" s="3"/>
      <c r="J28" s="9"/>
      <c r="K28" s="10"/>
      <c r="L28" s="3"/>
      <c r="M28" s="9"/>
      <c r="N28" s="10"/>
      <c r="O28" s="3"/>
      <c r="P28" s="12" t="s">
        <v>95</v>
      </c>
      <c r="Q28" s="10"/>
      <c r="R28" s="26"/>
      <c r="S28" s="9"/>
      <c r="T28" s="9"/>
      <c r="U28" s="9"/>
      <c r="V28" s="100" t="s">
        <v>36</v>
      </c>
      <c r="W28" s="101">
        <v>0.0</v>
      </c>
      <c r="X28" s="100"/>
      <c r="Y28" s="100" t="s">
        <v>175</v>
      </c>
      <c r="Z28" s="101">
        <v>0.0</v>
      </c>
    </row>
    <row r="29" ht="12.75" customHeight="1">
      <c r="A29" s="19"/>
      <c r="B29" s="20"/>
      <c r="C29" s="21"/>
      <c r="D29" s="22">
        <v>55.0</v>
      </c>
      <c r="E29" s="20"/>
      <c r="F29" s="21"/>
      <c r="G29" s="22">
        <v>18.0</v>
      </c>
      <c r="H29" s="20"/>
      <c r="I29" s="21"/>
      <c r="J29" s="22">
        <v>36.0</v>
      </c>
      <c r="K29" s="20"/>
      <c r="L29" s="21"/>
      <c r="M29" s="22">
        <v>70.0</v>
      </c>
      <c r="N29" s="20"/>
      <c r="O29" s="21"/>
      <c r="P29" s="22">
        <v>52.0</v>
      </c>
      <c r="Q29" s="20"/>
      <c r="R29" s="22"/>
      <c r="S29" s="22">
        <v>51.0</v>
      </c>
      <c r="T29" s="19"/>
      <c r="U29" s="19"/>
      <c r="V29" s="100" t="s">
        <v>55</v>
      </c>
      <c r="W29" s="101">
        <v>10.0</v>
      </c>
      <c r="X29" s="100"/>
      <c r="Y29" s="100" t="s">
        <v>193</v>
      </c>
      <c r="Z29" s="101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29"/>
      <c r="S30" s="9"/>
      <c r="T30" s="9"/>
      <c r="U30" s="9"/>
      <c r="V30" s="100" t="s">
        <v>73</v>
      </c>
      <c r="W30" s="101">
        <v>12.0</v>
      </c>
      <c r="X30" s="100"/>
      <c r="Y30" s="100" t="s">
        <v>205</v>
      </c>
      <c r="Z30" s="101">
        <v>0.0</v>
      </c>
    </row>
    <row r="31" ht="12.75" customHeight="1">
      <c r="A31" s="9" t="s">
        <v>135</v>
      </c>
      <c r="B31" s="2"/>
      <c r="C31" s="3"/>
      <c r="D31" s="9" t="s">
        <v>136</v>
      </c>
      <c r="E31" s="2"/>
      <c r="F31" s="6"/>
      <c r="G31" s="9" t="s">
        <v>137</v>
      </c>
      <c r="H31" s="2"/>
      <c r="I31" s="6"/>
      <c r="J31" s="9" t="s">
        <v>138</v>
      </c>
      <c r="K31" s="2"/>
      <c r="L31" s="6"/>
      <c r="M31" s="9" t="s">
        <v>139</v>
      </c>
      <c r="N31" s="2"/>
      <c r="O31" s="6"/>
      <c r="P31" s="9" t="s">
        <v>140</v>
      </c>
      <c r="Q31" s="2"/>
      <c r="R31" s="29"/>
      <c r="S31" s="9" t="s">
        <v>141</v>
      </c>
      <c r="T31" s="9"/>
      <c r="U31" s="9"/>
      <c r="V31" s="100" t="s">
        <v>86</v>
      </c>
      <c r="W31" s="101">
        <v>6.0</v>
      </c>
      <c r="X31" s="100"/>
      <c r="Y31" s="100" t="s">
        <v>217</v>
      </c>
      <c r="Z31" s="101">
        <v>2.0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142</v>
      </c>
      <c r="Q32" s="2"/>
      <c r="R32" s="29"/>
      <c r="S32" s="9"/>
      <c r="T32" s="9"/>
      <c r="U32" s="9"/>
      <c r="V32" s="100" t="s">
        <v>106</v>
      </c>
      <c r="W32" s="101">
        <v>6.0</v>
      </c>
      <c r="X32" s="100"/>
      <c r="Y32" s="100" t="s">
        <v>235</v>
      </c>
      <c r="Z32" s="101">
        <v>4.0</v>
      </c>
    </row>
    <row r="33" ht="12.75" customHeight="1">
      <c r="A33" s="9"/>
      <c r="B33" s="2"/>
      <c r="C33" s="3"/>
      <c r="D33" s="25"/>
      <c r="E33" s="26"/>
      <c r="F33" s="26"/>
      <c r="G33" s="25"/>
      <c r="H33" s="26"/>
      <c r="I33" s="26"/>
      <c r="J33" s="25"/>
      <c r="K33" s="25"/>
      <c r="L33" s="26"/>
      <c r="M33" s="25"/>
      <c r="P33" s="25"/>
      <c r="R33" s="26"/>
      <c r="S33" s="25"/>
      <c r="T33" s="6"/>
      <c r="U33" s="26"/>
      <c r="V33" s="103" t="s">
        <v>113</v>
      </c>
      <c r="W33" s="101">
        <v>13.0</v>
      </c>
      <c r="X33" s="100"/>
      <c r="Y33" s="100" t="s">
        <v>247</v>
      </c>
      <c r="Z33" s="101">
        <v>3.0</v>
      </c>
    </row>
    <row r="34" ht="12.75" customHeight="1">
      <c r="A34" s="9" t="s">
        <v>143</v>
      </c>
      <c r="B34" s="9"/>
      <c r="C34" s="3"/>
      <c r="D34" s="25"/>
      <c r="E34" s="26"/>
      <c r="F34" s="26"/>
      <c r="G34" s="25"/>
      <c r="H34" s="26"/>
      <c r="I34" s="26"/>
      <c r="J34" s="25"/>
      <c r="K34" s="25"/>
      <c r="L34" s="26"/>
      <c r="M34" s="25"/>
      <c r="P34" s="25"/>
      <c r="R34" s="26"/>
      <c r="S34" s="25"/>
      <c r="T34" s="6"/>
      <c r="U34" s="26"/>
      <c r="V34" s="103" t="s">
        <v>126</v>
      </c>
      <c r="W34" s="101">
        <v>5.0</v>
      </c>
      <c r="X34" s="100"/>
      <c r="Y34" s="100" t="s">
        <v>265</v>
      </c>
      <c r="Z34" s="101">
        <v>0.0</v>
      </c>
    </row>
    <row r="35" ht="12.75" customHeight="1">
      <c r="A35" s="9"/>
      <c r="B35" s="9"/>
      <c r="C35" s="3"/>
      <c r="D35" s="12"/>
      <c r="E35" s="26"/>
      <c r="F35" s="26"/>
      <c r="G35" s="12"/>
      <c r="H35" s="26"/>
      <c r="I35" s="26"/>
      <c r="J35" s="25"/>
      <c r="K35" s="25"/>
      <c r="L35" s="26"/>
      <c r="M35" s="25"/>
      <c r="P35" s="25"/>
      <c r="R35" s="26"/>
      <c r="S35" s="25"/>
      <c r="T35" s="6"/>
      <c r="U35" s="9"/>
      <c r="V35" s="103"/>
      <c r="W35" s="101">
        <v>70.0</v>
      </c>
      <c r="X35" s="100"/>
      <c r="Y35" s="100"/>
      <c r="Z35" s="101">
        <v>31.0</v>
      </c>
    </row>
    <row r="36" ht="12.75" customHeight="1">
      <c r="A36" s="9"/>
      <c r="B36" s="2"/>
      <c r="C36" s="3"/>
      <c r="D36" s="12"/>
      <c r="E36" s="2"/>
      <c r="F36" s="6"/>
      <c r="G36" s="12"/>
      <c r="H36" s="2"/>
      <c r="I36" s="6"/>
      <c r="J36" s="25"/>
      <c r="K36" s="9"/>
      <c r="L36" s="6"/>
      <c r="M36" s="25"/>
      <c r="N36" s="26"/>
      <c r="O36" s="26"/>
      <c r="P36" s="25"/>
      <c r="Q36" s="26"/>
      <c r="R36" s="26"/>
      <c r="S36" s="25"/>
      <c r="T36" s="6"/>
      <c r="U36" s="6"/>
      <c r="V36" s="100"/>
      <c r="W36" s="101"/>
      <c r="X36" s="100"/>
      <c r="Y36" s="100"/>
      <c r="Z36" s="101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29"/>
      <c r="S37" s="9"/>
      <c r="T37" s="9"/>
      <c r="U37" s="9"/>
      <c r="V37" s="98" t="s">
        <v>326</v>
      </c>
      <c r="W37" s="99"/>
      <c r="X37" s="98"/>
      <c r="Y37" s="98" t="s">
        <v>325</v>
      </c>
      <c r="Z37" s="99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29"/>
      <c r="S38" s="9"/>
      <c r="T38" s="9"/>
      <c r="U38" s="9"/>
      <c r="V38" s="100" t="s">
        <v>153</v>
      </c>
      <c r="W38" s="101">
        <v>6.0</v>
      </c>
      <c r="X38" s="100"/>
      <c r="Y38" s="100" t="s">
        <v>152</v>
      </c>
      <c r="Z38" s="101">
        <v>5.0</v>
      </c>
    </row>
    <row r="39" ht="12.75" customHeight="1">
      <c r="A39" s="1" t="s">
        <v>144</v>
      </c>
      <c r="B39" s="2"/>
      <c r="C39" s="3"/>
      <c r="D39" s="5" t="s">
        <v>145</v>
      </c>
      <c r="E39" s="2"/>
      <c r="F39" s="1"/>
      <c r="G39" s="5" t="s">
        <v>146</v>
      </c>
      <c r="H39" s="2"/>
      <c r="I39" s="1"/>
      <c r="J39" s="5" t="s">
        <v>147</v>
      </c>
      <c r="K39" s="2"/>
      <c r="L39" s="1"/>
      <c r="M39" s="5" t="s">
        <v>148</v>
      </c>
      <c r="N39" s="2"/>
      <c r="O39" s="1"/>
      <c r="P39" s="5" t="s">
        <v>149</v>
      </c>
      <c r="Q39" s="2"/>
      <c r="R39" s="29"/>
      <c r="S39" s="5" t="s">
        <v>150</v>
      </c>
      <c r="T39" s="1"/>
      <c r="U39" s="1"/>
      <c r="V39" s="100" t="s">
        <v>171</v>
      </c>
      <c r="W39" s="101">
        <v>9.0</v>
      </c>
      <c r="X39" s="100"/>
      <c r="Y39" s="100" t="s">
        <v>176</v>
      </c>
      <c r="Z39" s="101">
        <v>0.0</v>
      </c>
    </row>
    <row r="40" ht="12.75" customHeight="1">
      <c r="A40" s="9" t="s">
        <v>6</v>
      </c>
      <c r="B40" s="10">
        <v>22.0</v>
      </c>
      <c r="C40" s="14" t="s">
        <v>9</v>
      </c>
      <c r="D40" s="1" t="s">
        <v>151</v>
      </c>
      <c r="E40" s="10">
        <v>5.0</v>
      </c>
      <c r="F40" s="14" t="s">
        <v>9</v>
      </c>
      <c r="G40" s="1" t="s">
        <v>152</v>
      </c>
      <c r="H40" s="10">
        <v>6.0</v>
      </c>
      <c r="I40" s="14" t="s">
        <v>9</v>
      </c>
      <c r="J40" s="1" t="s">
        <v>153</v>
      </c>
      <c r="K40" s="10">
        <v>20.0</v>
      </c>
      <c r="L40" s="14" t="s">
        <v>9</v>
      </c>
      <c r="M40" s="1" t="s">
        <v>154</v>
      </c>
      <c r="N40" s="10">
        <v>15.0</v>
      </c>
      <c r="O40" s="14" t="s">
        <v>9</v>
      </c>
      <c r="P40" s="1" t="s">
        <v>155</v>
      </c>
      <c r="Q40" s="10" t="s">
        <v>345</v>
      </c>
      <c r="R40" s="14"/>
      <c r="S40" s="9" t="s">
        <v>156</v>
      </c>
      <c r="T40" s="9"/>
      <c r="U40" s="9"/>
      <c r="V40" s="100" t="s">
        <v>177</v>
      </c>
      <c r="W40" s="101">
        <v>6.0</v>
      </c>
      <c r="X40" s="100"/>
      <c r="Y40" s="100" t="s">
        <v>182</v>
      </c>
      <c r="Z40" s="101">
        <v>0.0</v>
      </c>
    </row>
    <row r="41" ht="12.75" customHeight="1">
      <c r="A41" s="9"/>
      <c r="B41" s="10" t="s">
        <v>345</v>
      </c>
      <c r="C41" s="14"/>
      <c r="D41" s="9" t="s">
        <v>163</v>
      </c>
      <c r="E41" s="10" t="s">
        <v>345</v>
      </c>
      <c r="F41" s="14"/>
      <c r="G41" s="9" t="s">
        <v>158</v>
      </c>
      <c r="H41" s="10" t="s">
        <v>345</v>
      </c>
      <c r="I41" s="14"/>
      <c r="J41" s="9" t="s">
        <v>363</v>
      </c>
      <c r="K41" s="10" t="s">
        <v>345</v>
      </c>
      <c r="L41" s="14"/>
      <c r="M41" s="9" t="s">
        <v>160</v>
      </c>
      <c r="N41" s="10" t="s">
        <v>345</v>
      </c>
      <c r="O41" s="14"/>
      <c r="P41" s="12" t="s">
        <v>161</v>
      </c>
      <c r="Q41" s="10">
        <v>7.0</v>
      </c>
      <c r="R41" s="14" t="s">
        <v>9</v>
      </c>
      <c r="S41" s="1" t="s">
        <v>162</v>
      </c>
      <c r="T41" s="9"/>
      <c r="U41" s="9"/>
      <c r="V41" s="100" t="s">
        <v>364</v>
      </c>
      <c r="W41" s="101">
        <v>6.0</v>
      </c>
      <c r="X41" s="100"/>
      <c r="Y41" s="100" t="s">
        <v>194</v>
      </c>
      <c r="Z41" s="101">
        <v>0.0</v>
      </c>
    </row>
    <row r="42" ht="12.75" customHeight="1">
      <c r="A42" s="9"/>
      <c r="B42" s="10" t="s">
        <v>345</v>
      </c>
      <c r="C42" s="14"/>
      <c r="D42" s="12" t="s">
        <v>157</v>
      </c>
      <c r="E42" s="10" t="s">
        <v>345</v>
      </c>
      <c r="F42" s="14"/>
      <c r="G42" s="12" t="s">
        <v>164</v>
      </c>
      <c r="H42" s="10" t="s">
        <v>345</v>
      </c>
      <c r="I42" s="14"/>
      <c r="J42" s="12" t="s">
        <v>365</v>
      </c>
      <c r="K42" s="10" t="s">
        <v>345</v>
      </c>
      <c r="L42" s="14"/>
      <c r="M42" s="12" t="s">
        <v>159</v>
      </c>
      <c r="N42" s="10" t="s">
        <v>345</v>
      </c>
      <c r="O42" s="14"/>
      <c r="P42" s="12" t="s">
        <v>167</v>
      </c>
      <c r="Q42" s="10" t="s">
        <v>345</v>
      </c>
      <c r="R42" s="25"/>
      <c r="S42" s="12" t="s">
        <v>168</v>
      </c>
      <c r="T42" s="9"/>
      <c r="U42" s="9"/>
      <c r="V42" s="18" t="s">
        <v>207</v>
      </c>
      <c r="W42" s="101">
        <v>0.0</v>
      </c>
      <c r="X42" s="100"/>
      <c r="Y42" s="100" t="s">
        <v>200</v>
      </c>
      <c r="Z42" s="101">
        <v>0.0</v>
      </c>
    </row>
    <row r="43" ht="12.75" customHeight="1">
      <c r="A43" s="9"/>
      <c r="B43" s="10"/>
      <c r="C43" s="3"/>
      <c r="D43" s="9"/>
      <c r="E43" s="10"/>
      <c r="F43" s="3"/>
      <c r="G43" s="9"/>
      <c r="H43" s="10"/>
      <c r="I43" s="3"/>
      <c r="J43" s="9"/>
      <c r="K43" s="10"/>
      <c r="L43" s="3"/>
      <c r="M43" s="9"/>
      <c r="N43" s="10"/>
      <c r="O43" s="3"/>
      <c r="P43" s="9"/>
      <c r="Q43" s="10"/>
      <c r="R43" s="26"/>
      <c r="S43" s="9"/>
      <c r="T43" s="9"/>
      <c r="U43" s="9"/>
      <c r="V43" s="100" t="s">
        <v>219</v>
      </c>
      <c r="W43" s="101">
        <v>4.0</v>
      </c>
      <c r="X43" s="100"/>
      <c r="Y43" s="100" t="s">
        <v>218</v>
      </c>
      <c r="Z43" s="101">
        <v>2.0</v>
      </c>
    </row>
    <row r="44" ht="12.75" customHeight="1">
      <c r="A44" s="9" t="s">
        <v>26</v>
      </c>
      <c r="B44" s="10">
        <v>0.0</v>
      </c>
      <c r="C44" s="14" t="s">
        <v>9</v>
      </c>
      <c r="D44" s="1" t="s">
        <v>169</v>
      </c>
      <c r="E44" s="10" t="s">
        <v>345</v>
      </c>
      <c r="F44" s="14"/>
      <c r="G44" s="9" t="s">
        <v>170</v>
      </c>
      <c r="H44" s="10">
        <v>9.0</v>
      </c>
      <c r="I44" s="14" t="s">
        <v>9</v>
      </c>
      <c r="J44" s="1" t="s">
        <v>171</v>
      </c>
      <c r="K44" s="10">
        <v>0.0</v>
      </c>
      <c r="L44" s="14" t="s">
        <v>9</v>
      </c>
      <c r="M44" s="1" t="s">
        <v>172</v>
      </c>
      <c r="N44" s="10">
        <v>6.0</v>
      </c>
      <c r="O44" s="14" t="s">
        <v>9</v>
      </c>
      <c r="P44" s="5" t="s">
        <v>173</v>
      </c>
      <c r="Q44" s="10">
        <v>6.0</v>
      </c>
      <c r="R44" s="14" t="s">
        <v>9</v>
      </c>
      <c r="S44" s="1" t="s">
        <v>174</v>
      </c>
      <c r="T44" s="9"/>
      <c r="U44" s="9"/>
      <c r="V44" s="100" t="s">
        <v>237</v>
      </c>
      <c r="W44" s="101">
        <v>4.0</v>
      </c>
      <c r="X44" s="100"/>
      <c r="Y44" s="100" t="s">
        <v>236</v>
      </c>
      <c r="Z44" s="101">
        <v>5.0</v>
      </c>
    </row>
    <row r="45" ht="12.75" customHeight="1">
      <c r="A45" s="9"/>
      <c r="B45" s="10">
        <v>0.0</v>
      </c>
      <c r="C45" s="14" t="s">
        <v>9</v>
      </c>
      <c r="D45" s="1" t="s">
        <v>175</v>
      </c>
      <c r="E45" s="10">
        <v>0.0</v>
      </c>
      <c r="F45" s="14" t="s">
        <v>9</v>
      </c>
      <c r="G45" s="1" t="s">
        <v>176</v>
      </c>
      <c r="H45" s="10">
        <v>6.0</v>
      </c>
      <c r="I45" s="14" t="s">
        <v>9</v>
      </c>
      <c r="J45" s="5" t="s">
        <v>177</v>
      </c>
      <c r="K45" s="10">
        <v>16.0</v>
      </c>
      <c r="L45" s="14" t="s">
        <v>9</v>
      </c>
      <c r="M45" s="1" t="s">
        <v>178</v>
      </c>
      <c r="N45" s="10" t="s">
        <v>345</v>
      </c>
      <c r="O45" s="14"/>
      <c r="P45" s="9" t="s">
        <v>179</v>
      </c>
      <c r="Q45" s="10">
        <v>6.0</v>
      </c>
      <c r="R45" s="14" t="s">
        <v>9</v>
      </c>
      <c r="S45" s="1" t="s">
        <v>180</v>
      </c>
      <c r="T45" s="9"/>
      <c r="U45" s="9"/>
      <c r="V45" s="100" t="s">
        <v>249</v>
      </c>
      <c r="W45" s="101">
        <v>2.0</v>
      </c>
      <c r="X45" s="100"/>
      <c r="Y45" s="100" t="s">
        <v>254</v>
      </c>
      <c r="Z45" s="101">
        <v>4.0</v>
      </c>
    </row>
    <row r="46" ht="12.75" customHeight="1">
      <c r="A46" s="9"/>
      <c r="B46" s="10" t="s">
        <v>345</v>
      </c>
      <c r="C46" s="14"/>
      <c r="D46" s="12" t="s">
        <v>181</v>
      </c>
      <c r="E46" s="10">
        <v>0.0</v>
      </c>
      <c r="F46" s="14" t="s">
        <v>9</v>
      </c>
      <c r="G46" s="1" t="s">
        <v>182</v>
      </c>
      <c r="H46" s="10" t="s">
        <v>345</v>
      </c>
      <c r="I46" s="14"/>
      <c r="J46" s="12" t="s">
        <v>183</v>
      </c>
      <c r="K46" s="10" t="s">
        <v>345</v>
      </c>
      <c r="L46" s="14"/>
      <c r="M46" s="12" t="s">
        <v>184</v>
      </c>
      <c r="N46" s="10">
        <v>0.0</v>
      </c>
      <c r="O46" s="14" t="s">
        <v>9</v>
      </c>
      <c r="P46" s="4" t="s">
        <v>185</v>
      </c>
      <c r="Q46" s="10" t="s">
        <v>345</v>
      </c>
      <c r="R46" s="14"/>
      <c r="S46" s="12" t="s">
        <v>186</v>
      </c>
      <c r="T46" s="9"/>
      <c r="U46" s="9"/>
      <c r="V46" s="100" t="s">
        <v>261</v>
      </c>
      <c r="W46" s="101">
        <v>4.0</v>
      </c>
      <c r="X46" s="100"/>
      <c r="Y46" s="100" t="s">
        <v>260</v>
      </c>
      <c r="Z46" s="101">
        <v>0.0</v>
      </c>
    </row>
    <row r="47" ht="12.75" customHeight="1">
      <c r="A47" s="9"/>
      <c r="B47" s="10" t="s">
        <v>345</v>
      </c>
      <c r="C47" s="14"/>
      <c r="D47" s="12" t="s">
        <v>366</v>
      </c>
      <c r="E47" s="10" t="s">
        <v>345</v>
      </c>
      <c r="F47" s="14"/>
      <c r="G47" s="12" t="s">
        <v>188</v>
      </c>
      <c r="H47" s="10" t="s">
        <v>345</v>
      </c>
      <c r="I47" s="14"/>
      <c r="J47" s="12" t="s">
        <v>189</v>
      </c>
      <c r="K47" s="10" t="s">
        <v>345</v>
      </c>
      <c r="L47" s="14"/>
      <c r="M47" s="12" t="s">
        <v>37</v>
      </c>
      <c r="N47" s="10" t="s">
        <v>345</v>
      </c>
      <c r="O47" s="14"/>
      <c r="P47" s="12" t="s">
        <v>191</v>
      </c>
      <c r="Q47" s="10" t="s">
        <v>345</v>
      </c>
      <c r="R47" s="14"/>
      <c r="S47" s="9" t="s">
        <v>367</v>
      </c>
      <c r="T47" s="9"/>
      <c r="U47" s="9"/>
      <c r="V47" s="100"/>
      <c r="W47" s="101">
        <v>41.0</v>
      </c>
      <c r="X47" s="100"/>
      <c r="Y47" s="100"/>
      <c r="Z47" s="101">
        <v>16.0</v>
      </c>
    </row>
    <row r="48" ht="12.75" customHeight="1">
      <c r="A48" s="9"/>
      <c r="B48" s="10"/>
      <c r="C48" s="3"/>
      <c r="D48" s="9"/>
      <c r="E48" s="10"/>
      <c r="F48" s="3"/>
      <c r="G48" s="9"/>
      <c r="H48" s="10"/>
      <c r="I48" s="3"/>
      <c r="J48" s="9"/>
      <c r="K48" s="10"/>
      <c r="L48" s="3"/>
      <c r="M48" s="9"/>
      <c r="N48" s="10"/>
      <c r="O48" s="3"/>
      <c r="P48" s="9"/>
      <c r="Q48" s="10"/>
      <c r="R48" s="26"/>
      <c r="S48" s="9"/>
      <c r="T48" s="9"/>
      <c r="U48" s="9"/>
      <c r="V48" s="100"/>
      <c r="W48" s="101"/>
      <c r="X48" s="100"/>
      <c r="Y48" s="100"/>
      <c r="Z48" s="101"/>
    </row>
    <row r="49" ht="12.75" customHeight="1">
      <c r="A49" s="9" t="s">
        <v>51</v>
      </c>
      <c r="B49" s="10">
        <v>0.0</v>
      </c>
      <c r="C49" s="14" t="s">
        <v>9</v>
      </c>
      <c r="D49" s="1" t="s">
        <v>193</v>
      </c>
      <c r="E49" s="10">
        <v>0.0</v>
      </c>
      <c r="F49" s="14" t="s">
        <v>9</v>
      </c>
      <c r="G49" s="1" t="s">
        <v>194</v>
      </c>
      <c r="H49" s="10">
        <v>6.0</v>
      </c>
      <c r="I49" s="14" t="s">
        <v>9</v>
      </c>
      <c r="J49" s="1" t="s">
        <v>364</v>
      </c>
      <c r="K49" s="10" t="s">
        <v>345</v>
      </c>
      <c r="L49" s="14"/>
      <c r="M49" s="9" t="s">
        <v>196</v>
      </c>
      <c r="N49" s="10">
        <v>0.0</v>
      </c>
      <c r="O49" s="14" t="s">
        <v>9</v>
      </c>
      <c r="P49" s="1" t="s">
        <v>197</v>
      </c>
      <c r="Q49" s="10" t="s">
        <v>345</v>
      </c>
      <c r="R49" s="14"/>
      <c r="S49" s="12" t="s">
        <v>198</v>
      </c>
      <c r="T49" s="9"/>
      <c r="U49" s="9"/>
      <c r="V49" s="98" t="s">
        <v>328</v>
      </c>
      <c r="W49" s="99"/>
      <c r="X49" s="98"/>
      <c r="Y49" s="98" t="s">
        <v>329</v>
      </c>
      <c r="Z49" s="99"/>
    </row>
    <row r="50" ht="12.75" customHeight="1">
      <c r="A50" s="9"/>
      <c r="B50" s="10" t="s">
        <v>345</v>
      </c>
      <c r="C50" s="14"/>
      <c r="D50" s="9" t="s">
        <v>199</v>
      </c>
      <c r="E50" s="10">
        <v>0.0</v>
      </c>
      <c r="F50" s="14" t="s">
        <v>9</v>
      </c>
      <c r="G50" s="5" t="s">
        <v>200</v>
      </c>
      <c r="H50" s="10" t="s">
        <v>345</v>
      </c>
      <c r="I50" s="14"/>
      <c r="J50" s="9" t="s">
        <v>201</v>
      </c>
      <c r="K50" s="10">
        <v>0.0</v>
      </c>
      <c r="L50" s="14" t="s">
        <v>9</v>
      </c>
      <c r="M50" s="1" t="s">
        <v>202</v>
      </c>
      <c r="N50" s="10">
        <v>3.0</v>
      </c>
      <c r="O50" s="14" t="s">
        <v>9</v>
      </c>
      <c r="P50" s="1" t="s">
        <v>203</v>
      </c>
      <c r="Q50" s="10">
        <v>0.0</v>
      </c>
      <c r="R50" s="14" t="s">
        <v>9</v>
      </c>
      <c r="S50" s="1" t="s">
        <v>204</v>
      </c>
      <c r="T50" s="9"/>
      <c r="U50" s="9"/>
      <c r="V50" s="100" t="s">
        <v>155</v>
      </c>
      <c r="W50" s="101">
        <v>15.0</v>
      </c>
      <c r="X50" s="100"/>
      <c r="Y50" s="100" t="s">
        <v>162</v>
      </c>
      <c r="Z50" s="101">
        <v>7.0</v>
      </c>
    </row>
    <row r="51" ht="12.75" customHeight="1">
      <c r="A51" s="9"/>
      <c r="B51" s="10">
        <v>0.0</v>
      </c>
      <c r="C51" s="14" t="s">
        <v>9</v>
      </c>
      <c r="D51" s="1" t="s">
        <v>205</v>
      </c>
      <c r="E51" s="10" t="s">
        <v>345</v>
      </c>
      <c r="F51" s="14"/>
      <c r="G51" s="9" t="s">
        <v>206</v>
      </c>
      <c r="H51" s="10">
        <v>0.0</v>
      </c>
      <c r="I51" s="14" t="s">
        <v>9</v>
      </c>
      <c r="J51" s="4" t="s">
        <v>207</v>
      </c>
      <c r="K51" s="10" t="s">
        <v>345</v>
      </c>
      <c r="L51" s="14"/>
      <c r="M51" s="9" t="s">
        <v>208</v>
      </c>
      <c r="N51" s="10" t="s">
        <v>345</v>
      </c>
      <c r="O51" s="14"/>
      <c r="P51" s="9" t="s">
        <v>209</v>
      </c>
      <c r="Q51" s="10" t="s">
        <v>345</v>
      </c>
      <c r="R51" s="14"/>
      <c r="S51" s="9" t="s">
        <v>210</v>
      </c>
      <c r="T51" s="9"/>
      <c r="U51" s="9"/>
      <c r="V51" s="100" t="s">
        <v>173</v>
      </c>
      <c r="W51" s="101">
        <v>6.0</v>
      </c>
      <c r="X51" s="100"/>
      <c r="Y51" s="100" t="s">
        <v>174</v>
      </c>
      <c r="Z51" s="101">
        <v>6.0</v>
      </c>
    </row>
    <row r="52" ht="12.75" customHeight="1">
      <c r="A52" s="9"/>
      <c r="B52" s="10" t="s">
        <v>345</v>
      </c>
      <c r="C52" s="14"/>
      <c r="D52" s="12" t="s">
        <v>368</v>
      </c>
      <c r="E52" s="10" t="s">
        <v>345</v>
      </c>
      <c r="F52" s="14"/>
      <c r="G52" s="17" t="s">
        <v>212</v>
      </c>
      <c r="H52" s="10" t="s">
        <v>345</v>
      </c>
      <c r="I52" s="14"/>
      <c r="J52" s="12" t="s">
        <v>213</v>
      </c>
      <c r="K52" s="10">
        <v>0.0</v>
      </c>
      <c r="L52" s="14" t="s">
        <v>9</v>
      </c>
      <c r="M52" s="5" t="s">
        <v>349</v>
      </c>
      <c r="N52" s="10" t="s">
        <v>345</v>
      </c>
      <c r="O52" s="14"/>
      <c r="P52" s="12" t="s">
        <v>215</v>
      </c>
      <c r="Q52" s="10">
        <v>3.0</v>
      </c>
      <c r="R52" s="14" t="s">
        <v>9</v>
      </c>
      <c r="S52" s="5" t="s">
        <v>216</v>
      </c>
      <c r="T52" s="9"/>
      <c r="U52" s="9"/>
      <c r="V52" s="18" t="s">
        <v>185</v>
      </c>
      <c r="W52" s="101">
        <v>0.0</v>
      </c>
      <c r="X52" s="100"/>
      <c r="Y52" s="100" t="s">
        <v>180</v>
      </c>
      <c r="Z52" s="101">
        <v>6.0</v>
      </c>
    </row>
    <row r="53" ht="12.75" customHeight="1">
      <c r="A53" s="9"/>
      <c r="B53" s="10"/>
      <c r="C53" s="3"/>
      <c r="D53" s="9"/>
      <c r="E53" s="10"/>
      <c r="F53" s="3"/>
      <c r="G53" s="9"/>
      <c r="H53" s="10"/>
      <c r="I53" s="3"/>
      <c r="J53" s="9"/>
      <c r="K53" s="10"/>
      <c r="L53" s="3"/>
      <c r="M53" s="9"/>
      <c r="N53" s="10"/>
      <c r="O53" s="3"/>
      <c r="P53" s="9"/>
      <c r="Q53" s="10"/>
      <c r="R53" s="26"/>
      <c r="S53" s="9"/>
      <c r="T53" s="9"/>
      <c r="U53" s="9"/>
      <c r="V53" s="100" t="s">
        <v>197</v>
      </c>
      <c r="W53" s="101">
        <v>0.0</v>
      </c>
      <c r="X53" s="100"/>
      <c r="Y53" s="100" t="s">
        <v>204</v>
      </c>
      <c r="Z53" s="101">
        <v>0.0</v>
      </c>
    </row>
    <row r="54" ht="12.75" customHeight="1">
      <c r="A54" s="9" t="s">
        <v>76</v>
      </c>
      <c r="B54" s="10">
        <v>2.0</v>
      </c>
      <c r="C54" s="14" t="s">
        <v>9</v>
      </c>
      <c r="D54" s="1" t="s">
        <v>217</v>
      </c>
      <c r="E54" s="10">
        <v>2.0</v>
      </c>
      <c r="F54" s="14" t="s">
        <v>9</v>
      </c>
      <c r="G54" s="1" t="s">
        <v>218</v>
      </c>
      <c r="H54" s="10">
        <v>4.0</v>
      </c>
      <c r="I54" s="14" t="s">
        <v>9</v>
      </c>
      <c r="J54" s="1" t="s">
        <v>219</v>
      </c>
      <c r="K54" s="10">
        <v>6.0</v>
      </c>
      <c r="L54" s="14" t="s">
        <v>9</v>
      </c>
      <c r="M54" s="5" t="s">
        <v>220</v>
      </c>
      <c r="N54" s="10">
        <v>0.0</v>
      </c>
      <c r="O54" s="14" t="s">
        <v>9</v>
      </c>
      <c r="P54" s="1" t="s">
        <v>221</v>
      </c>
      <c r="Q54" s="10">
        <v>2.0</v>
      </c>
      <c r="R54" s="14" t="s">
        <v>9</v>
      </c>
      <c r="S54" s="1" t="s">
        <v>222</v>
      </c>
      <c r="T54" s="9"/>
      <c r="U54" s="9"/>
      <c r="V54" s="100" t="s">
        <v>203</v>
      </c>
      <c r="W54" s="101">
        <v>3.0</v>
      </c>
      <c r="X54" s="100"/>
      <c r="Y54" s="100" t="s">
        <v>216</v>
      </c>
      <c r="Z54" s="101">
        <v>3.0</v>
      </c>
    </row>
    <row r="55" ht="12.75" customHeight="1">
      <c r="A55" s="9"/>
      <c r="B55" s="10" t="s">
        <v>345</v>
      </c>
      <c r="C55" s="14"/>
      <c r="D55" s="12" t="s">
        <v>223</v>
      </c>
      <c r="E55" s="10" t="s">
        <v>345</v>
      </c>
      <c r="F55" s="14"/>
      <c r="G55" s="9" t="s">
        <v>224</v>
      </c>
      <c r="H55" s="10" t="s">
        <v>345</v>
      </c>
      <c r="I55" s="14"/>
      <c r="J55" s="9" t="s">
        <v>225</v>
      </c>
      <c r="K55" s="10" t="s">
        <v>345</v>
      </c>
      <c r="L55" s="14"/>
      <c r="M55" s="12" t="s">
        <v>226</v>
      </c>
      <c r="N55" s="10" t="s">
        <v>345</v>
      </c>
      <c r="O55" s="14"/>
      <c r="P55" s="9" t="s">
        <v>227</v>
      </c>
      <c r="Q55" s="10" t="s">
        <v>345</v>
      </c>
      <c r="R55" s="14"/>
      <c r="S55" s="12" t="s">
        <v>228</v>
      </c>
      <c r="T55" s="9"/>
      <c r="U55" s="9"/>
      <c r="V55" s="100" t="s">
        <v>221</v>
      </c>
      <c r="W55" s="101">
        <v>0.0</v>
      </c>
      <c r="X55" s="100"/>
      <c r="Y55" s="100" t="s">
        <v>222</v>
      </c>
      <c r="Z55" s="101">
        <v>2.0</v>
      </c>
    </row>
    <row r="56" ht="12.75" customHeight="1">
      <c r="A56" s="9"/>
      <c r="B56" s="10" t="s">
        <v>345</v>
      </c>
      <c r="C56" s="14"/>
      <c r="D56" s="12" t="s">
        <v>229</v>
      </c>
      <c r="E56" s="10" t="s">
        <v>345</v>
      </c>
      <c r="F56" s="14"/>
      <c r="G56" s="9" t="s">
        <v>230</v>
      </c>
      <c r="H56" s="10" t="s">
        <v>345</v>
      </c>
      <c r="I56" s="14"/>
      <c r="J56" s="12" t="s">
        <v>231</v>
      </c>
      <c r="K56" s="10" t="s">
        <v>345</v>
      </c>
      <c r="L56" s="14"/>
      <c r="M56" s="12" t="s">
        <v>369</v>
      </c>
      <c r="N56" s="10" t="s">
        <v>345</v>
      </c>
      <c r="O56" s="14"/>
      <c r="P56" s="9" t="s">
        <v>233</v>
      </c>
      <c r="Q56" s="10" t="s">
        <v>345</v>
      </c>
      <c r="R56" s="14"/>
      <c r="S56" s="12" t="s">
        <v>234</v>
      </c>
      <c r="T56" s="9"/>
      <c r="U56" s="9"/>
      <c r="V56" s="100" t="s">
        <v>239</v>
      </c>
      <c r="W56" s="101">
        <v>11.0</v>
      </c>
      <c r="X56" s="100"/>
      <c r="Y56" s="100" t="s">
        <v>240</v>
      </c>
      <c r="Z56" s="101">
        <v>6.0</v>
      </c>
    </row>
    <row r="57" ht="12.75" customHeight="1">
      <c r="A57" s="9"/>
      <c r="B57" s="10"/>
      <c r="C57" s="3"/>
      <c r="D57" s="9"/>
      <c r="E57" s="10"/>
      <c r="F57" s="3"/>
      <c r="G57" s="9"/>
      <c r="H57" s="10"/>
      <c r="I57" s="3"/>
      <c r="J57" s="9"/>
      <c r="K57" s="10"/>
      <c r="L57" s="3"/>
      <c r="M57" s="9"/>
      <c r="N57" s="10"/>
      <c r="O57" s="3"/>
      <c r="P57" s="9"/>
      <c r="Q57" s="10"/>
      <c r="R57" s="26"/>
      <c r="S57" s="9"/>
      <c r="T57" s="9"/>
      <c r="U57" s="9"/>
      <c r="V57" s="100" t="s">
        <v>257</v>
      </c>
      <c r="W57" s="101">
        <v>5.0</v>
      </c>
      <c r="X57" s="100"/>
      <c r="Y57" s="100" t="s">
        <v>258</v>
      </c>
      <c r="Z57" s="101">
        <v>8.0</v>
      </c>
    </row>
    <row r="58" ht="12.75" customHeight="1">
      <c r="A58" s="9" t="s">
        <v>96</v>
      </c>
      <c r="B58" s="10">
        <v>4.0</v>
      </c>
      <c r="C58" s="14" t="s">
        <v>9</v>
      </c>
      <c r="D58" s="1" t="s">
        <v>235</v>
      </c>
      <c r="E58" s="10">
        <v>5.0</v>
      </c>
      <c r="F58" s="14" t="s">
        <v>9</v>
      </c>
      <c r="G58" s="1" t="s">
        <v>236</v>
      </c>
      <c r="H58" s="10" t="s">
        <v>345</v>
      </c>
      <c r="I58" s="14"/>
      <c r="J58" s="9" t="s">
        <v>370</v>
      </c>
      <c r="K58" s="10">
        <v>10.0</v>
      </c>
      <c r="L58" s="14" t="s">
        <v>9</v>
      </c>
      <c r="M58" s="5" t="s">
        <v>238</v>
      </c>
      <c r="N58" s="10">
        <v>11.0</v>
      </c>
      <c r="O58" s="14" t="s">
        <v>9</v>
      </c>
      <c r="P58" s="5" t="s">
        <v>239</v>
      </c>
      <c r="Q58" s="10">
        <v>6.0</v>
      </c>
      <c r="R58" s="14" t="s">
        <v>9</v>
      </c>
      <c r="S58" s="1" t="s">
        <v>240</v>
      </c>
      <c r="T58" s="9"/>
      <c r="U58" s="9"/>
      <c r="V58" s="100" t="s">
        <v>269</v>
      </c>
      <c r="W58" s="101">
        <v>5.0</v>
      </c>
      <c r="X58" s="100"/>
      <c r="Y58" s="100" t="s">
        <v>264</v>
      </c>
      <c r="Z58" s="101">
        <v>4.0</v>
      </c>
    </row>
    <row r="59" ht="12.75" customHeight="1">
      <c r="A59" s="9"/>
      <c r="B59" s="10" t="s">
        <v>345</v>
      </c>
      <c r="C59" s="14"/>
      <c r="D59" s="12" t="s">
        <v>371</v>
      </c>
      <c r="E59" s="10" t="s">
        <v>345</v>
      </c>
      <c r="F59" s="14"/>
      <c r="G59" s="9" t="s">
        <v>242</v>
      </c>
      <c r="H59" s="10">
        <v>4.0</v>
      </c>
      <c r="I59" s="14" t="s">
        <v>9</v>
      </c>
      <c r="J59" s="1" t="s">
        <v>237</v>
      </c>
      <c r="K59" s="10" t="s">
        <v>345</v>
      </c>
      <c r="L59" s="14"/>
      <c r="M59" s="12" t="s">
        <v>244</v>
      </c>
      <c r="N59" s="10" t="s">
        <v>345</v>
      </c>
      <c r="O59" s="14"/>
      <c r="P59" s="12" t="s">
        <v>245</v>
      </c>
      <c r="Q59" s="10" t="s">
        <v>345</v>
      </c>
      <c r="R59" s="14"/>
      <c r="S59" s="12" t="s">
        <v>246</v>
      </c>
      <c r="T59" s="9"/>
      <c r="U59" s="9"/>
      <c r="V59" s="100"/>
      <c r="W59" s="101">
        <v>45.0</v>
      </c>
      <c r="X59" s="100"/>
      <c r="Y59" s="100"/>
      <c r="Z59" s="101">
        <v>42.0</v>
      </c>
    </row>
    <row r="60" ht="12.75" customHeight="1">
      <c r="A60" s="9"/>
      <c r="B60" s="10"/>
      <c r="C60" s="3"/>
      <c r="D60" s="9"/>
      <c r="E60" s="10"/>
      <c r="F60" s="3"/>
      <c r="G60" s="9"/>
      <c r="H60" s="10"/>
      <c r="I60" s="3"/>
      <c r="J60" s="9"/>
      <c r="K60" s="10"/>
      <c r="L60" s="3"/>
      <c r="M60" s="9"/>
      <c r="N60" s="10"/>
      <c r="O60" s="3"/>
      <c r="P60" s="9"/>
      <c r="Q60" s="10"/>
      <c r="R60" s="26"/>
      <c r="S60" s="9"/>
      <c r="T60" s="9"/>
      <c r="U60" s="9"/>
      <c r="V60" s="100"/>
      <c r="W60" s="101"/>
      <c r="X60" s="100"/>
      <c r="Y60" s="100"/>
      <c r="Z60" s="101"/>
    </row>
    <row r="61" ht="12.75" customHeight="1">
      <c r="A61" s="9" t="s">
        <v>109</v>
      </c>
      <c r="B61" s="10">
        <v>3.0</v>
      </c>
      <c r="C61" s="14" t="s">
        <v>9</v>
      </c>
      <c r="D61" s="1" t="s">
        <v>247</v>
      </c>
      <c r="E61" s="10" t="s">
        <v>345</v>
      </c>
      <c r="F61" s="14"/>
      <c r="G61" s="12" t="s">
        <v>248</v>
      </c>
      <c r="H61" s="10">
        <v>2.0</v>
      </c>
      <c r="I61" s="14" t="s">
        <v>9</v>
      </c>
      <c r="J61" s="5" t="s">
        <v>249</v>
      </c>
      <c r="K61" s="10">
        <v>0.0</v>
      </c>
      <c r="L61" s="14" t="s">
        <v>9</v>
      </c>
      <c r="M61" s="5" t="s">
        <v>250</v>
      </c>
      <c r="N61" s="10" t="s">
        <v>345</v>
      </c>
      <c r="O61" s="14"/>
      <c r="P61" s="9" t="s">
        <v>251</v>
      </c>
      <c r="Q61" s="10" t="s">
        <v>345</v>
      </c>
      <c r="R61" s="14"/>
      <c r="S61" s="12" t="s">
        <v>252</v>
      </c>
      <c r="T61" s="9"/>
      <c r="U61" s="9"/>
      <c r="V61" s="98" t="s">
        <v>320</v>
      </c>
      <c r="W61" s="99"/>
      <c r="X61" s="98"/>
      <c r="Y61" s="98" t="s">
        <v>323</v>
      </c>
      <c r="Z61" s="99"/>
    </row>
    <row r="62" ht="12.75" customHeight="1">
      <c r="A62" s="9"/>
      <c r="B62" s="10" t="s">
        <v>345</v>
      </c>
      <c r="C62" s="14"/>
      <c r="D62" s="9" t="s">
        <v>253</v>
      </c>
      <c r="E62" s="10">
        <v>4.0</v>
      </c>
      <c r="F62" s="14" t="s">
        <v>9</v>
      </c>
      <c r="G62" s="5" t="s">
        <v>254</v>
      </c>
      <c r="H62" s="10" t="s">
        <v>345</v>
      </c>
      <c r="I62" s="14"/>
      <c r="J62" s="12" t="s">
        <v>255</v>
      </c>
      <c r="K62" s="10" t="s">
        <v>345</v>
      </c>
      <c r="L62" s="14"/>
      <c r="M62" s="9" t="s">
        <v>256</v>
      </c>
      <c r="N62" s="10">
        <v>5.0</v>
      </c>
      <c r="O62" s="14" t="s">
        <v>9</v>
      </c>
      <c r="P62" s="5" t="s">
        <v>257</v>
      </c>
      <c r="Q62" s="10">
        <v>8.0</v>
      </c>
      <c r="R62" s="14" t="s">
        <v>9</v>
      </c>
      <c r="S62" s="5" t="s">
        <v>258</v>
      </c>
      <c r="T62" s="9"/>
      <c r="U62" s="9"/>
      <c r="V62" s="100" t="s">
        <v>16</v>
      </c>
      <c r="W62" s="101">
        <v>12.0</v>
      </c>
      <c r="X62" s="100"/>
      <c r="Y62" s="100" t="s">
        <v>13</v>
      </c>
      <c r="Z62" s="101">
        <v>18.0</v>
      </c>
    </row>
    <row r="63" ht="12.75" customHeight="1">
      <c r="A63" s="9"/>
      <c r="B63" s="10"/>
      <c r="C63" s="3"/>
      <c r="D63" s="9"/>
      <c r="E63" s="10"/>
      <c r="F63" s="3"/>
      <c r="G63" s="9"/>
      <c r="H63" s="10"/>
      <c r="I63" s="3"/>
      <c r="J63" s="9"/>
      <c r="K63" s="10"/>
      <c r="L63" s="3"/>
      <c r="M63" s="9"/>
      <c r="N63" s="10"/>
      <c r="O63" s="3"/>
      <c r="P63" s="9"/>
      <c r="Q63" s="10"/>
      <c r="R63" s="26"/>
      <c r="S63" s="9"/>
      <c r="T63" s="9"/>
      <c r="U63" s="9"/>
      <c r="V63" s="100" t="s">
        <v>29</v>
      </c>
      <c r="W63" s="101">
        <v>6.0</v>
      </c>
      <c r="X63" s="100"/>
      <c r="Y63" s="100" t="s">
        <v>32</v>
      </c>
      <c r="Z63" s="101">
        <v>6.0</v>
      </c>
    </row>
    <row r="64" ht="12.75" customHeight="1">
      <c r="A64" s="9" t="s">
        <v>122</v>
      </c>
      <c r="B64" s="10" t="s">
        <v>345</v>
      </c>
      <c r="C64" s="14"/>
      <c r="D64" s="12" t="s">
        <v>259</v>
      </c>
      <c r="E64" s="10">
        <v>0.0</v>
      </c>
      <c r="F64" s="14" t="s">
        <v>9</v>
      </c>
      <c r="G64" s="1" t="s">
        <v>260</v>
      </c>
      <c r="H64" s="10">
        <v>4.0</v>
      </c>
      <c r="I64" s="14" t="s">
        <v>9</v>
      </c>
      <c r="J64" s="1" t="s">
        <v>261</v>
      </c>
      <c r="K64" s="10" t="s">
        <v>345</v>
      </c>
      <c r="L64" s="14"/>
      <c r="M64" s="12" t="s">
        <v>262</v>
      </c>
      <c r="N64" s="10" t="s">
        <v>345</v>
      </c>
      <c r="O64" s="14"/>
      <c r="P64" s="12" t="s">
        <v>263</v>
      </c>
      <c r="Q64" s="10">
        <v>4.0</v>
      </c>
      <c r="R64" s="14" t="s">
        <v>9</v>
      </c>
      <c r="S64" s="1" t="s">
        <v>264</v>
      </c>
      <c r="T64" s="9"/>
      <c r="U64" s="9"/>
      <c r="V64" s="100" t="s">
        <v>35</v>
      </c>
      <c r="W64" s="101">
        <v>0.0</v>
      </c>
      <c r="X64" s="100"/>
      <c r="Y64" s="100" t="s">
        <v>50</v>
      </c>
      <c r="Z64" s="101">
        <v>6.0</v>
      </c>
    </row>
    <row r="65" ht="12.75" customHeight="1">
      <c r="A65" s="9"/>
      <c r="B65" s="10">
        <v>0.0</v>
      </c>
      <c r="C65" s="14" t="s">
        <v>9</v>
      </c>
      <c r="D65" s="1" t="s">
        <v>265</v>
      </c>
      <c r="E65" s="10" t="s">
        <v>345</v>
      </c>
      <c r="F65" s="14"/>
      <c r="G65" s="12" t="s">
        <v>266</v>
      </c>
      <c r="H65" s="10" t="s">
        <v>345</v>
      </c>
      <c r="I65" s="14"/>
      <c r="J65" s="9" t="s">
        <v>267</v>
      </c>
      <c r="K65" s="10">
        <v>0.0</v>
      </c>
      <c r="L65" s="14" t="s">
        <v>9</v>
      </c>
      <c r="M65" s="1" t="s">
        <v>268</v>
      </c>
      <c r="N65" s="10">
        <v>5.0</v>
      </c>
      <c r="O65" s="14" t="s">
        <v>9</v>
      </c>
      <c r="P65" s="1" t="s">
        <v>269</v>
      </c>
      <c r="Q65" s="10" t="s">
        <v>345</v>
      </c>
      <c r="R65" s="14"/>
      <c r="S65" s="12" t="s">
        <v>270</v>
      </c>
      <c r="T65" s="9"/>
      <c r="U65" s="9"/>
      <c r="V65" s="100" t="s">
        <v>54</v>
      </c>
      <c r="W65" s="101">
        <v>0.0</v>
      </c>
      <c r="X65" s="100"/>
      <c r="Y65" s="100" t="s">
        <v>57</v>
      </c>
      <c r="Z65" s="101">
        <v>2.0</v>
      </c>
    </row>
    <row r="66" ht="12.75" customHeight="1">
      <c r="A66" s="9"/>
      <c r="B66" s="2"/>
      <c r="C66" s="3"/>
      <c r="D66" s="9"/>
      <c r="E66" s="10"/>
      <c r="F66" s="3"/>
      <c r="G66" s="9"/>
      <c r="H66" s="10"/>
      <c r="I66" s="3"/>
      <c r="J66" s="9"/>
      <c r="K66" s="10"/>
      <c r="L66" s="3"/>
      <c r="M66" s="9"/>
      <c r="N66" s="10"/>
      <c r="O66" s="3"/>
      <c r="P66" s="9"/>
      <c r="Q66" s="10"/>
      <c r="R66" s="26"/>
      <c r="S66" s="9"/>
      <c r="T66" s="9"/>
      <c r="U66" s="9"/>
      <c r="V66" s="100" t="s">
        <v>66</v>
      </c>
      <c r="W66" s="101">
        <v>6.0</v>
      </c>
      <c r="X66" s="100"/>
      <c r="Y66" s="100" t="s">
        <v>69</v>
      </c>
      <c r="Z66" s="101">
        <v>0.0</v>
      </c>
    </row>
    <row r="67" ht="12.75" customHeight="1">
      <c r="A67" s="19"/>
      <c r="B67" s="20"/>
      <c r="C67" s="21"/>
      <c r="D67" s="22">
        <v>31.0</v>
      </c>
      <c r="E67" s="20"/>
      <c r="F67" s="21"/>
      <c r="G67" s="22">
        <v>16.0</v>
      </c>
      <c r="H67" s="20"/>
      <c r="I67" s="21"/>
      <c r="J67" s="22">
        <v>41.0</v>
      </c>
      <c r="K67" s="20"/>
      <c r="L67" s="21"/>
      <c r="M67" s="22">
        <v>52.0</v>
      </c>
      <c r="N67" s="20"/>
      <c r="O67" s="21"/>
      <c r="P67" s="22">
        <v>45.0</v>
      </c>
      <c r="Q67" s="20"/>
      <c r="R67" s="22"/>
      <c r="S67" s="22">
        <v>42.0</v>
      </c>
      <c r="T67" s="19"/>
      <c r="U67" s="19"/>
      <c r="V67" s="100" t="s">
        <v>85</v>
      </c>
      <c r="W67" s="101">
        <v>0.0</v>
      </c>
      <c r="X67" s="100"/>
      <c r="Y67" s="100" t="s">
        <v>80</v>
      </c>
      <c r="Z67" s="101">
        <v>6.0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29"/>
      <c r="S68" s="9"/>
      <c r="T68" s="9"/>
      <c r="U68" s="9"/>
      <c r="V68" s="100" t="s">
        <v>105</v>
      </c>
      <c r="W68" s="101">
        <v>3.0</v>
      </c>
      <c r="X68" s="100"/>
      <c r="Y68" s="100" t="s">
        <v>102</v>
      </c>
      <c r="Z68" s="101">
        <v>7.0</v>
      </c>
    </row>
    <row r="69" ht="12.75" customHeight="1">
      <c r="A69" s="9" t="s">
        <v>135</v>
      </c>
      <c r="B69" s="2"/>
      <c r="C69" s="3"/>
      <c r="D69" s="9" t="s">
        <v>271</v>
      </c>
      <c r="E69" s="2"/>
      <c r="F69" s="6"/>
      <c r="G69" s="9" t="s">
        <v>272</v>
      </c>
      <c r="H69" s="2"/>
      <c r="I69" s="6"/>
      <c r="J69" s="9" t="s">
        <v>273</v>
      </c>
      <c r="K69" s="2"/>
      <c r="L69" s="6"/>
      <c r="M69" s="9" t="s">
        <v>274</v>
      </c>
      <c r="N69" s="2"/>
      <c r="O69" s="6"/>
      <c r="P69" s="9" t="s">
        <v>275</v>
      </c>
      <c r="Q69" s="2"/>
      <c r="R69" s="29"/>
      <c r="S69" s="9" t="s">
        <v>276</v>
      </c>
      <c r="T69" s="9"/>
      <c r="U69" s="9"/>
      <c r="V69" s="100" t="s">
        <v>118</v>
      </c>
      <c r="W69" s="101">
        <v>9.0</v>
      </c>
      <c r="X69" s="100"/>
      <c r="Y69" s="100" t="s">
        <v>115</v>
      </c>
      <c r="Z69" s="101">
        <v>1.0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277</v>
      </c>
      <c r="K70" s="2"/>
      <c r="L70" s="6"/>
      <c r="M70" s="9" t="s">
        <v>95</v>
      </c>
      <c r="N70" s="2"/>
      <c r="O70" s="6"/>
      <c r="P70" s="9"/>
      <c r="Q70" s="2"/>
      <c r="R70" s="29"/>
      <c r="S70" s="9"/>
      <c r="T70" s="9"/>
      <c r="U70" s="9"/>
      <c r="V70" s="100" t="s">
        <v>125</v>
      </c>
      <c r="W70" s="101">
        <v>0.0</v>
      </c>
      <c r="X70" s="100"/>
      <c r="Y70" s="100" t="s">
        <v>128</v>
      </c>
      <c r="Z70" s="101">
        <v>5.0</v>
      </c>
    </row>
    <row r="71" ht="12.75" customHeight="1">
      <c r="A71" s="9"/>
      <c r="B71" s="2"/>
      <c r="C71" s="3"/>
      <c r="D71" s="9"/>
      <c r="E71" s="2"/>
      <c r="F71" s="6"/>
      <c r="G71" s="28"/>
      <c r="H71" s="2"/>
      <c r="I71" s="6"/>
      <c r="J71" s="28"/>
      <c r="K71" s="2"/>
      <c r="L71" s="6"/>
      <c r="M71" s="28"/>
      <c r="N71" s="2"/>
      <c r="O71" s="6"/>
      <c r="P71" s="28"/>
      <c r="Q71" s="2"/>
      <c r="R71" s="29"/>
      <c r="S71" s="28"/>
      <c r="T71" s="9"/>
      <c r="U71" s="9"/>
      <c r="V71" s="100"/>
      <c r="W71" s="101">
        <v>36.0</v>
      </c>
      <c r="X71" s="100"/>
      <c r="Y71" s="100"/>
      <c r="Z71" s="101">
        <v>51.0</v>
      </c>
    </row>
    <row r="72" ht="12.75" customHeight="1">
      <c r="A72" s="9" t="s">
        <v>143</v>
      </c>
      <c r="B72" s="2"/>
      <c r="C72" s="3"/>
      <c r="D72" s="18"/>
      <c r="F72" s="29"/>
      <c r="G72" s="27"/>
      <c r="H72" s="25"/>
      <c r="J72" s="27"/>
      <c r="K72" s="26"/>
      <c r="M72" s="27"/>
      <c r="N72" s="26"/>
      <c r="P72" s="27"/>
      <c r="Q72" s="25"/>
      <c r="S72" s="27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29"/>
      <c r="G73" s="27"/>
      <c r="H73" s="25"/>
      <c r="J73" s="27"/>
      <c r="K73" s="26"/>
      <c r="M73" s="27"/>
      <c r="N73" s="28"/>
      <c r="P73" s="27"/>
      <c r="Q73" s="25"/>
      <c r="S73" s="25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29"/>
      <c r="G74" s="25"/>
      <c r="H74" s="25"/>
      <c r="J74" s="27"/>
      <c r="K74" s="26"/>
      <c r="M74" s="27"/>
      <c r="N74" s="26"/>
      <c r="P74" s="27"/>
      <c r="Q74" s="25"/>
      <c r="S74" s="25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3.43"/>
    <col customWidth="1" min="23" max="23" width="4.0"/>
    <col customWidth="1" min="24" max="24" width="3.0"/>
    <col customWidth="1" min="25" max="25" width="20.43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8" t="s">
        <v>327</v>
      </c>
      <c r="W1" s="99"/>
      <c r="X1" s="98"/>
      <c r="Y1" s="98" t="s">
        <v>319</v>
      </c>
      <c r="Z1" s="99"/>
    </row>
    <row r="2" ht="12.75" customHeight="1">
      <c r="A2" s="9" t="s">
        <v>6</v>
      </c>
      <c r="B2" s="10" t="s">
        <v>345</v>
      </c>
      <c r="C2" s="14"/>
      <c r="D2" s="9" t="s">
        <v>7</v>
      </c>
      <c r="E2" s="10">
        <v>16.0</v>
      </c>
      <c r="F2" s="14" t="s">
        <v>9</v>
      </c>
      <c r="G2" s="5" t="s">
        <v>8</v>
      </c>
      <c r="H2" s="10" t="s">
        <v>345</v>
      </c>
      <c r="I2" s="14"/>
      <c r="J2" s="9" t="s">
        <v>10</v>
      </c>
      <c r="K2" s="10">
        <v>6.0</v>
      </c>
      <c r="L2" s="14" t="s">
        <v>9</v>
      </c>
      <c r="M2" s="5" t="s">
        <v>11</v>
      </c>
      <c r="N2" s="10">
        <v>0.0</v>
      </c>
      <c r="O2" s="14" t="s">
        <v>9</v>
      </c>
      <c r="P2" s="1" t="s">
        <v>12</v>
      </c>
      <c r="Q2" s="10">
        <v>14.0</v>
      </c>
      <c r="R2" s="14" t="s">
        <v>9</v>
      </c>
      <c r="S2" s="5" t="s">
        <v>13</v>
      </c>
      <c r="T2" s="9"/>
      <c r="U2" s="9"/>
      <c r="V2" s="100" t="s">
        <v>154</v>
      </c>
      <c r="W2" s="101">
        <v>26.0</v>
      </c>
      <c r="X2" s="100"/>
      <c r="Y2" s="100" t="s">
        <v>8</v>
      </c>
      <c r="Z2" s="101">
        <v>16.0</v>
      </c>
    </row>
    <row r="3" ht="12.75" customHeight="1">
      <c r="A3" s="9"/>
      <c r="B3" s="10">
        <v>15.0</v>
      </c>
      <c r="C3" s="14" t="s">
        <v>9</v>
      </c>
      <c r="D3" s="1" t="s">
        <v>14</v>
      </c>
      <c r="E3" s="10" t="s">
        <v>345</v>
      </c>
      <c r="F3" s="14"/>
      <c r="G3" s="12" t="s">
        <v>15</v>
      </c>
      <c r="H3" s="10" t="s">
        <v>345</v>
      </c>
      <c r="I3" s="14"/>
      <c r="J3" s="9" t="s">
        <v>16</v>
      </c>
      <c r="K3" s="10" t="s">
        <v>345</v>
      </c>
      <c r="L3" s="14"/>
      <c r="M3" s="9" t="s">
        <v>17</v>
      </c>
      <c r="N3" s="10" t="s">
        <v>345</v>
      </c>
      <c r="O3" s="14"/>
      <c r="P3" s="9" t="s">
        <v>166</v>
      </c>
      <c r="Q3" s="10" t="s">
        <v>345</v>
      </c>
      <c r="R3" s="14"/>
      <c r="S3" s="9" t="s">
        <v>346</v>
      </c>
      <c r="T3" s="9"/>
      <c r="U3" s="9"/>
      <c r="V3" s="100" t="s">
        <v>172</v>
      </c>
      <c r="W3" s="101">
        <v>12.0</v>
      </c>
      <c r="X3" s="100"/>
      <c r="Y3" s="100" t="s">
        <v>28</v>
      </c>
      <c r="Z3" s="101">
        <v>8.0</v>
      </c>
    </row>
    <row r="4" ht="12.75" customHeight="1">
      <c r="A4" s="9"/>
      <c r="B4" s="10" t="s">
        <v>345</v>
      </c>
      <c r="C4" s="14"/>
      <c r="D4" s="12" t="s">
        <v>20</v>
      </c>
      <c r="E4" s="10" t="s">
        <v>345</v>
      </c>
      <c r="F4" s="14"/>
      <c r="G4" s="12" t="s">
        <v>165</v>
      </c>
      <c r="H4" s="10">
        <v>16.0</v>
      </c>
      <c r="I4" s="14" t="s">
        <v>9</v>
      </c>
      <c r="J4" s="5" t="s">
        <v>22</v>
      </c>
      <c r="K4" s="10" t="s">
        <v>345</v>
      </c>
      <c r="L4" s="14"/>
      <c r="M4" s="12" t="s">
        <v>23</v>
      </c>
      <c r="N4" s="10" t="s">
        <v>345</v>
      </c>
      <c r="O4" s="14"/>
      <c r="P4" s="9" t="s">
        <v>18</v>
      </c>
      <c r="Q4" s="10" t="s">
        <v>345</v>
      </c>
      <c r="R4" s="14"/>
      <c r="S4" s="12" t="s">
        <v>347</v>
      </c>
      <c r="T4" s="9"/>
      <c r="U4" s="9"/>
      <c r="V4" s="100" t="s">
        <v>178</v>
      </c>
      <c r="W4" s="101">
        <v>0.0</v>
      </c>
      <c r="X4" s="100"/>
      <c r="Y4" s="100" t="s">
        <v>34</v>
      </c>
      <c r="Z4" s="101">
        <v>5.0</v>
      </c>
    </row>
    <row r="5" ht="12.75" customHeight="1">
      <c r="A5" s="9"/>
      <c r="B5" s="10"/>
      <c r="C5" s="3"/>
      <c r="D5" s="9"/>
      <c r="E5" s="10"/>
      <c r="F5" s="3"/>
      <c r="G5" s="9"/>
      <c r="H5" s="10" t="s">
        <v>345</v>
      </c>
      <c r="I5" s="3"/>
      <c r="J5" s="9"/>
      <c r="K5" s="10"/>
      <c r="L5" s="3"/>
      <c r="M5" s="9"/>
      <c r="N5" s="10"/>
      <c r="O5" s="3"/>
      <c r="P5" s="9"/>
      <c r="Q5" s="10"/>
      <c r="R5" s="26"/>
      <c r="S5" s="9"/>
      <c r="T5" s="9"/>
      <c r="U5" s="9"/>
      <c r="V5" s="100" t="s">
        <v>196</v>
      </c>
      <c r="W5" s="101">
        <v>0.0</v>
      </c>
      <c r="X5" s="100"/>
      <c r="Y5" s="100" t="s">
        <v>53</v>
      </c>
      <c r="Z5" s="101">
        <v>6.0</v>
      </c>
    </row>
    <row r="6" ht="12.75" customHeight="1">
      <c r="A6" s="9" t="s">
        <v>26</v>
      </c>
      <c r="B6" s="10">
        <v>8.0</v>
      </c>
      <c r="C6" s="14" t="s">
        <v>9</v>
      </c>
      <c r="D6" s="1" t="s">
        <v>27</v>
      </c>
      <c r="E6" s="10">
        <v>8.0</v>
      </c>
      <c r="F6" s="14" t="s">
        <v>9</v>
      </c>
      <c r="G6" s="1" t="s">
        <v>28</v>
      </c>
      <c r="H6" s="10">
        <v>0.0</v>
      </c>
      <c r="I6" s="14" t="s">
        <v>9</v>
      </c>
      <c r="J6" s="5" t="s">
        <v>29</v>
      </c>
      <c r="K6" s="10">
        <v>8.0</v>
      </c>
      <c r="L6" s="14" t="s">
        <v>9</v>
      </c>
      <c r="M6" s="5" t="s">
        <v>30</v>
      </c>
      <c r="N6" s="10">
        <v>0.0</v>
      </c>
      <c r="O6" s="14" t="s">
        <v>9</v>
      </c>
      <c r="P6" s="1" t="s">
        <v>31</v>
      </c>
      <c r="Q6" s="10">
        <v>6.0</v>
      </c>
      <c r="R6" s="14" t="s">
        <v>9</v>
      </c>
      <c r="S6" s="5" t="s">
        <v>32</v>
      </c>
      <c r="T6" s="9"/>
      <c r="U6" s="9"/>
      <c r="V6" s="100" t="s">
        <v>349</v>
      </c>
      <c r="W6" s="101">
        <v>0.0</v>
      </c>
      <c r="X6" s="100"/>
      <c r="Y6" s="100" t="s">
        <v>71</v>
      </c>
      <c r="Z6" s="101">
        <v>3.0</v>
      </c>
    </row>
    <row r="7" ht="12.75" customHeight="1">
      <c r="A7" s="9"/>
      <c r="B7" s="10">
        <v>6.0</v>
      </c>
      <c r="C7" s="14" t="s">
        <v>9</v>
      </c>
      <c r="D7" s="5" t="s">
        <v>33</v>
      </c>
      <c r="E7" s="10">
        <v>5.0</v>
      </c>
      <c r="F7" s="14" t="s">
        <v>9</v>
      </c>
      <c r="G7" s="5" t="s">
        <v>34</v>
      </c>
      <c r="H7" s="10">
        <v>6.0</v>
      </c>
      <c r="I7" s="14" t="s">
        <v>9</v>
      </c>
      <c r="J7" s="5" t="s">
        <v>35</v>
      </c>
      <c r="K7" s="10">
        <v>0.0</v>
      </c>
      <c r="L7" s="14" t="s">
        <v>9</v>
      </c>
      <c r="M7" s="1" t="s">
        <v>36</v>
      </c>
      <c r="N7" s="10">
        <v>6.0</v>
      </c>
      <c r="O7" s="14" t="s">
        <v>9</v>
      </c>
      <c r="P7" s="1" t="s">
        <v>348</v>
      </c>
      <c r="Q7" s="10" t="s">
        <v>345</v>
      </c>
      <c r="R7" s="14"/>
      <c r="S7" s="12" t="s">
        <v>38</v>
      </c>
      <c r="T7" s="9"/>
      <c r="U7" s="9"/>
      <c r="V7" s="100" t="s">
        <v>226</v>
      </c>
      <c r="W7" s="101">
        <v>0.0</v>
      </c>
      <c r="X7" s="100"/>
      <c r="Y7" s="100" t="s">
        <v>78</v>
      </c>
      <c r="Z7" s="101">
        <v>0.0</v>
      </c>
    </row>
    <row r="8" ht="12.75" customHeight="1">
      <c r="A8" s="9"/>
      <c r="B8" s="10" t="s">
        <v>345</v>
      </c>
      <c r="C8" s="14"/>
      <c r="D8" s="12" t="s">
        <v>39</v>
      </c>
      <c r="E8" s="10" t="s">
        <v>345</v>
      </c>
      <c r="F8" s="14"/>
      <c r="G8" s="9" t="s">
        <v>351</v>
      </c>
      <c r="H8" s="10" t="s">
        <v>345</v>
      </c>
      <c r="I8" s="14"/>
      <c r="J8" s="9" t="s">
        <v>352</v>
      </c>
      <c r="K8" s="10" t="s">
        <v>345</v>
      </c>
      <c r="L8" s="14"/>
      <c r="M8" s="12" t="s">
        <v>42</v>
      </c>
      <c r="N8" s="10" t="s">
        <v>345</v>
      </c>
      <c r="O8" s="14"/>
      <c r="P8" s="25" t="s">
        <v>43</v>
      </c>
      <c r="Q8" s="10" t="s">
        <v>345</v>
      </c>
      <c r="R8" s="14"/>
      <c r="S8" s="18" t="s">
        <v>44</v>
      </c>
      <c r="T8" s="9"/>
      <c r="U8" s="9"/>
      <c r="V8" s="100" t="s">
        <v>238</v>
      </c>
      <c r="W8" s="101">
        <v>7.0</v>
      </c>
      <c r="X8" s="100"/>
      <c r="Y8" s="100" t="s">
        <v>98</v>
      </c>
      <c r="Z8" s="101">
        <v>18.0</v>
      </c>
    </row>
    <row r="9" ht="12.75" customHeight="1">
      <c r="A9" s="9"/>
      <c r="B9" s="10" t="s">
        <v>345</v>
      </c>
      <c r="C9" s="14"/>
      <c r="D9" s="12" t="s">
        <v>45</v>
      </c>
      <c r="E9" s="10" t="s">
        <v>345</v>
      </c>
      <c r="F9" s="14"/>
      <c r="G9" s="12" t="s">
        <v>46</v>
      </c>
      <c r="H9" s="10" t="s">
        <v>345</v>
      </c>
      <c r="I9" s="14"/>
      <c r="J9" s="12" t="s">
        <v>41</v>
      </c>
      <c r="K9" s="10" t="s">
        <v>345</v>
      </c>
      <c r="L9" s="14"/>
      <c r="M9" s="12" t="s">
        <v>48</v>
      </c>
      <c r="N9" s="10" t="s">
        <v>345</v>
      </c>
      <c r="O9" s="14"/>
      <c r="P9" s="25" t="s">
        <v>353</v>
      </c>
      <c r="Q9" s="10">
        <v>3.0</v>
      </c>
      <c r="R9" s="14" t="s">
        <v>9</v>
      </c>
      <c r="S9" s="5" t="s">
        <v>50</v>
      </c>
      <c r="T9" s="9"/>
      <c r="U9" s="9"/>
      <c r="V9" s="100" t="s">
        <v>250</v>
      </c>
      <c r="W9" s="101">
        <v>4.0</v>
      </c>
      <c r="X9" s="100"/>
      <c r="Y9" s="100" t="s">
        <v>111</v>
      </c>
      <c r="Z9" s="101">
        <v>6.0</v>
      </c>
    </row>
    <row r="10" ht="12.75" customHeight="1">
      <c r="A10" s="9"/>
      <c r="B10" s="10"/>
      <c r="C10" s="3"/>
      <c r="D10" s="9"/>
      <c r="E10" s="10"/>
      <c r="F10" s="3"/>
      <c r="G10" s="9"/>
      <c r="H10" s="10" t="s">
        <v>345</v>
      </c>
      <c r="I10" s="3"/>
      <c r="J10" s="9"/>
      <c r="K10" s="10"/>
      <c r="L10" s="3"/>
      <c r="M10" s="9"/>
      <c r="N10" s="10"/>
      <c r="O10" s="3"/>
      <c r="P10" s="9"/>
      <c r="Q10" s="10"/>
      <c r="R10" s="26"/>
      <c r="S10" s="9"/>
      <c r="T10" s="9"/>
      <c r="U10" s="9"/>
      <c r="V10" s="100" t="s">
        <v>262</v>
      </c>
      <c r="W10" s="101">
        <v>5.0</v>
      </c>
      <c r="X10" s="100"/>
      <c r="Y10" s="100" t="s">
        <v>124</v>
      </c>
      <c r="Z10" s="101">
        <v>4.0</v>
      </c>
    </row>
    <row r="11" ht="12.75" customHeight="1">
      <c r="A11" s="9" t="s">
        <v>51</v>
      </c>
      <c r="B11" s="10">
        <v>2.0</v>
      </c>
      <c r="C11" s="14" t="s">
        <v>9</v>
      </c>
      <c r="D11" s="1" t="s">
        <v>52</v>
      </c>
      <c r="E11" s="10">
        <v>6.0</v>
      </c>
      <c r="F11" s="14" t="s">
        <v>9</v>
      </c>
      <c r="G11" s="1" t="s">
        <v>53</v>
      </c>
      <c r="H11" s="10">
        <v>11.0</v>
      </c>
      <c r="I11" s="14" t="s">
        <v>9</v>
      </c>
      <c r="J11" s="1" t="s">
        <v>54</v>
      </c>
      <c r="K11" s="10">
        <v>2.0</v>
      </c>
      <c r="L11" s="14" t="s">
        <v>9</v>
      </c>
      <c r="M11" s="5" t="s">
        <v>55</v>
      </c>
      <c r="N11" s="10">
        <v>21.0</v>
      </c>
      <c r="O11" s="14" t="s">
        <v>9</v>
      </c>
      <c r="P11" s="1" t="s">
        <v>56</v>
      </c>
      <c r="Q11" s="10">
        <v>3.0</v>
      </c>
      <c r="R11" s="14" t="s">
        <v>9</v>
      </c>
      <c r="S11" s="5" t="s">
        <v>57</v>
      </c>
      <c r="T11" s="9"/>
      <c r="U11" s="9"/>
      <c r="V11" s="100"/>
      <c r="W11" s="101">
        <v>54.0</v>
      </c>
      <c r="X11" s="100"/>
      <c r="Y11" s="100"/>
      <c r="Z11" s="101">
        <v>66.0</v>
      </c>
    </row>
    <row r="12" ht="12.75" customHeight="1">
      <c r="A12" s="9"/>
      <c r="B12" s="10">
        <v>9.0</v>
      </c>
      <c r="C12" s="14" t="s">
        <v>9</v>
      </c>
      <c r="D12" s="1" t="s">
        <v>58</v>
      </c>
      <c r="E12" s="10" t="s">
        <v>345</v>
      </c>
      <c r="F12" s="14"/>
      <c r="G12" s="9" t="s">
        <v>59</v>
      </c>
      <c r="H12" s="10">
        <v>6.0</v>
      </c>
      <c r="I12" s="14" t="s">
        <v>9</v>
      </c>
      <c r="J12" s="5" t="s">
        <v>60</v>
      </c>
      <c r="K12" s="10" t="s">
        <v>345</v>
      </c>
      <c r="L12" s="14"/>
      <c r="M12" s="9" t="s">
        <v>61</v>
      </c>
      <c r="N12" s="10">
        <v>0.0</v>
      </c>
      <c r="O12" s="14" t="s">
        <v>9</v>
      </c>
      <c r="P12" s="1" t="s">
        <v>62</v>
      </c>
      <c r="Q12" s="10" t="s">
        <v>345</v>
      </c>
      <c r="R12" s="14"/>
      <c r="S12" s="9" t="s">
        <v>63</v>
      </c>
      <c r="T12" s="9"/>
      <c r="U12" s="9"/>
      <c r="V12" s="100"/>
      <c r="W12" s="101"/>
      <c r="X12" s="100"/>
      <c r="Y12" s="100"/>
      <c r="Z12" s="101"/>
    </row>
    <row r="13" ht="12.75" customHeight="1">
      <c r="A13" s="9"/>
      <c r="B13" s="10" t="s">
        <v>345</v>
      </c>
      <c r="C13" s="14"/>
      <c r="D13" s="12" t="s">
        <v>64</v>
      </c>
      <c r="E13" s="10" t="s">
        <v>345</v>
      </c>
      <c r="F13" s="14"/>
      <c r="G13" s="12" t="s">
        <v>354</v>
      </c>
      <c r="H13" s="10" t="s">
        <v>345</v>
      </c>
      <c r="I13" s="14"/>
      <c r="J13" s="12" t="s">
        <v>66</v>
      </c>
      <c r="K13" s="10" t="s">
        <v>345</v>
      </c>
      <c r="L13" s="14"/>
      <c r="M13" s="9" t="s">
        <v>67</v>
      </c>
      <c r="N13" s="10" t="s">
        <v>345</v>
      </c>
      <c r="O13" s="14"/>
      <c r="P13" s="9" t="s">
        <v>355</v>
      </c>
      <c r="Q13" s="10">
        <v>0.0</v>
      </c>
      <c r="R13" s="14" t="s">
        <v>9</v>
      </c>
      <c r="S13" s="102" t="s">
        <v>69</v>
      </c>
      <c r="T13" s="9"/>
      <c r="U13" s="9"/>
      <c r="V13" s="98" t="s">
        <v>322</v>
      </c>
      <c r="W13" s="99"/>
      <c r="X13" s="98"/>
      <c r="Y13" s="98" t="s">
        <v>302</v>
      </c>
      <c r="Z13" s="99"/>
    </row>
    <row r="14" ht="12.75" customHeight="1">
      <c r="A14" s="9"/>
      <c r="B14" s="10" t="s">
        <v>345</v>
      </c>
      <c r="C14" s="14"/>
      <c r="D14" s="12" t="s">
        <v>356</v>
      </c>
      <c r="E14" s="10">
        <v>3.0</v>
      </c>
      <c r="F14" s="14" t="s">
        <v>9</v>
      </c>
      <c r="G14" s="5" t="s">
        <v>71</v>
      </c>
      <c r="H14" s="10" t="s">
        <v>345</v>
      </c>
      <c r="I14" s="14"/>
      <c r="J14" s="12" t="s">
        <v>72</v>
      </c>
      <c r="K14" s="10">
        <v>6.0</v>
      </c>
      <c r="L14" s="14" t="s">
        <v>9</v>
      </c>
      <c r="M14" s="5" t="s">
        <v>73</v>
      </c>
      <c r="N14" s="10" t="s">
        <v>345</v>
      </c>
      <c r="O14" s="14"/>
      <c r="P14" s="12" t="s">
        <v>350</v>
      </c>
      <c r="Q14" s="10" t="s">
        <v>345</v>
      </c>
      <c r="R14" s="14"/>
      <c r="S14" s="12" t="s">
        <v>75</v>
      </c>
      <c r="T14" s="9"/>
      <c r="U14" s="9"/>
      <c r="V14" s="100" t="s">
        <v>12</v>
      </c>
      <c r="W14" s="101">
        <v>0.0</v>
      </c>
      <c r="X14" s="100"/>
      <c r="Y14" s="100" t="s">
        <v>14</v>
      </c>
      <c r="Z14" s="101">
        <v>15.0</v>
      </c>
    </row>
    <row r="15" ht="12.75" customHeight="1">
      <c r="A15" s="9"/>
      <c r="B15" s="10"/>
      <c r="C15" s="3"/>
      <c r="D15" s="9"/>
      <c r="E15" s="10"/>
      <c r="F15" s="3"/>
      <c r="G15" s="9"/>
      <c r="H15" s="10" t="s">
        <v>345</v>
      </c>
      <c r="I15" s="3"/>
      <c r="J15" s="9"/>
      <c r="K15" s="10"/>
      <c r="L15" s="3"/>
      <c r="M15" s="9"/>
      <c r="N15" s="10"/>
      <c r="O15" s="3"/>
      <c r="P15" s="9"/>
      <c r="Q15" s="10"/>
      <c r="R15" s="26"/>
      <c r="S15" s="9"/>
      <c r="T15" s="9"/>
      <c r="U15" s="9"/>
      <c r="V15" s="100" t="s">
        <v>31</v>
      </c>
      <c r="W15" s="101">
        <v>0.0</v>
      </c>
      <c r="X15" s="100"/>
      <c r="Y15" s="100" t="s">
        <v>27</v>
      </c>
      <c r="Z15" s="101">
        <v>8.0</v>
      </c>
    </row>
    <row r="16" ht="12.75" customHeight="1">
      <c r="A16" s="9" t="s">
        <v>76</v>
      </c>
      <c r="B16" s="10" t="s">
        <v>345</v>
      </c>
      <c r="C16" s="14"/>
      <c r="D16" s="9" t="s">
        <v>357</v>
      </c>
      <c r="E16" s="10">
        <v>0.0</v>
      </c>
      <c r="F16" s="14" t="s">
        <v>9</v>
      </c>
      <c r="G16" s="5" t="s">
        <v>78</v>
      </c>
      <c r="H16" s="10" t="s">
        <v>345</v>
      </c>
      <c r="I16" s="14"/>
      <c r="J16" s="9" t="s">
        <v>79</v>
      </c>
      <c r="K16" s="10">
        <v>0.0</v>
      </c>
      <c r="L16" s="14" t="s">
        <v>9</v>
      </c>
      <c r="M16" s="1" t="s">
        <v>86</v>
      </c>
      <c r="N16" s="10">
        <v>0.0</v>
      </c>
      <c r="O16" s="14" t="s">
        <v>9</v>
      </c>
      <c r="P16" s="5" t="s">
        <v>81</v>
      </c>
      <c r="Q16" s="10">
        <v>2.0</v>
      </c>
      <c r="R16" s="14" t="s">
        <v>9</v>
      </c>
      <c r="S16" s="1" t="s">
        <v>80</v>
      </c>
      <c r="T16" s="9"/>
      <c r="U16" s="9"/>
      <c r="V16" s="100" t="s">
        <v>348</v>
      </c>
      <c r="W16" s="101">
        <v>6.0</v>
      </c>
      <c r="X16" s="100"/>
      <c r="Y16" s="100" t="s">
        <v>33</v>
      </c>
      <c r="Z16" s="101">
        <v>6.0</v>
      </c>
    </row>
    <row r="17" ht="12.75" customHeight="1">
      <c r="A17" s="9"/>
      <c r="B17" s="10" t="s">
        <v>345</v>
      </c>
      <c r="C17" s="14"/>
      <c r="D17" s="12" t="s">
        <v>77</v>
      </c>
      <c r="E17" s="10" t="s">
        <v>345</v>
      </c>
      <c r="F17" s="14"/>
      <c r="G17" s="9" t="s">
        <v>358</v>
      </c>
      <c r="H17" s="10" t="s">
        <v>345</v>
      </c>
      <c r="I17" s="14"/>
      <c r="J17" s="9" t="s">
        <v>85</v>
      </c>
      <c r="K17" s="10" t="s">
        <v>345</v>
      </c>
      <c r="L17" s="14"/>
      <c r="M17" s="12" t="s">
        <v>88</v>
      </c>
      <c r="N17" s="10" t="s">
        <v>345</v>
      </c>
      <c r="O17" s="14"/>
      <c r="P17" s="9" t="s">
        <v>90</v>
      </c>
      <c r="Q17" s="10" t="s">
        <v>345</v>
      </c>
      <c r="R17" s="14"/>
      <c r="S17" s="12" t="s">
        <v>82</v>
      </c>
      <c r="T17" s="9"/>
      <c r="U17" s="9"/>
      <c r="V17" s="100" t="s">
        <v>56</v>
      </c>
      <c r="W17" s="101">
        <v>21.0</v>
      </c>
      <c r="X17" s="100"/>
      <c r="Y17" s="100" t="s">
        <v>52</v>
      </c>
      <c r="Z17" s="101">
        <v>2.0</v>
      </c>
    </row>
    <row r="18" ht="12.75" customHeight="1">
      <c r="A18" s="9"/>
      <c r="B18" s="10">
        <v>0.0</v>
      </c>
      <c r="C18" s="14" t="s">
        <v>9</v>
      </c>
      <c r="D18" s="5" t="s">
        <v>93</v>
      </c>
      <c r="E18" s="10" t="s">
        <v>345</v>
      </c>
      <c r="F18" s="14"/>
      <c r="G18" s="12" t="s">
        <v>359</v>
      </c>
      <c r="H18" s="10">
        <v>3.0</v>
      </c>
      <c r="I18" s="14" t="s">
        <v>9</v>
      </c>
      <c r="J18" s="5" t="s">
        <v>91</v>
      </c>
      <c r="K18" s="10" t="s">
        <v>345</v>
      </c>
      <c r="L18" s="14"/>
      <c r="M18" s="9" t="s">
        <v>92</v>
      </c>
      <c r="N18" s="10" t="s">
        <v>345</v>
      </c>
      <c r="O18" s="14"/>
      <c r="P18" s="12" t="s">
        <v>87</v>
      </c>
      <c r="Q18" s="10" t="s">
        <v>345</v>
      </c>
      <c r="R18" s="14"/>
      <c r="S18" s="12" t="s">
        <v>94</v>
      </c>
      <c r="T18" s="9"/>
      <c r="U18" s="9"/>
      <c r="V18" s="100" t="s">
        <v>62</v>
      </c>
      <c r="W18" s="101">
        <v>0.0</v>
      </c>
      <c r="X18" s="100"/>
      <c r="Y18" s="100" t="s">
        <v>58</v>
      </c>
      <c r="Z18" s="101">
        <v>9.0</v>
      </c>
    </row>
    <row r="19" ht="12.75" customHeight="1">
      <c r="A19" s="9"/>
      <c r="B19" s="10"/>
      <c r="C19" s="3"/>
      <c r="D19" s="9"/>
      <c r="E19" s="10"/>
      <c r="F19" s="3"/>
      <c r="G19" s="9"/>
      <c r="H19" s="10" t="s">
        <v>345</v>
      </c>
      <c r="I19" s="3"/>
      <c r="J19" s="9" t="s">
        <v>95</v>
      </c>
      <c r="K19" s="10"/>
      <c r="L19" s="3"/>
      <c r="M19" s="9"/>
      <c r="N19" s="10"/>
      <c r="O19" s="3"/>
      <c r="P19" s="9"/>
      <c r="Q19" s="10"/>
      <c r="R19" s="26"/>
      <c r="S19" s="9"/>
      <c r="T19" s="9"/>
      <c r="U19" s="9"/>
      <c r="V19" s="100" t="s">
        <v>81</v>
      </c>
      <c r="W19" s="101">
        <v>0.0</v>
      </c>
      <c r="X19" s="100"/>
      <c r="Y19" s="100" t="s">
        <v>93</v>
      </c>
      <c r="Z19" s="101">
        <v>0.0</v>
      </c>
    </row>
    <row r="20" ht="12.75" customHeight="1">
      <c r="A20" s="9" t="s">
        <v>96</v>
      </c>
      <c r="B20" s="10" t="s">
        <v>345</v>
      </c>
      <c r="C20" s="14"/>
      <c r="D20" s="12" t="s">
        <v>97</v>
      </c>
      <c r="E20" s="10">
        <v>18.0</v>
      </c>
      <c r="F20" s="14" t="s">
        <v>9</v>
      </c>
      <c r="G20" s="5" t="s">
        <v>98</v>
      </c>
      <c r="H20" s="10">
        <v>5.0</v>
      </c>
      <c r="I20" s="14" t="s">
        <v>9</v>
      </c>
      <c r="J20" s="1" t="s">
        <v>99</v>
      </c>
      <c r="K20" s="10">
        <v>9.0</v>
      </c>
      <c r="L20" s="14" t="s">
        <v>9</v>
      </c>
      <c r="M20" s="5" t="s">
        <v>100</v>
      </c>
      <c r="N20" s="10" t="s">
        <v>345</v>
      </c>
      <c r="O20" s="14"/>
      <c r="P20" s="9" t="s">
        <v>360</v>
      </c>
      <c r="Q20" s="10" t="s">
        <v>345</v>
      </c>
      <c r="R20" s="14"/>
      <c r="S20" s="12" t="s">
        <v>361</v>
      </c>
      <c r="T20" s="9"/>
      <c r="U20" s="9"/>
      <c r="V20" s="100" t="s">
        <v>101</v>
      </c>
      <c r="W20" s="101">
        <v>10.0</v>
      </c>
      <c r="X20" s="100"/>
      <c r="Y20" s="100" t="s">
        <v>103</v>
      </c>
      <c r="Z20" s="101">
        <v>6.0</v>
      </c>
    </row>
    <row r="21" ht="12.75" customHeight="1">
      <c r="A21" s="9"/>
      <c r="B21" s="10">
        <v>6.0</v>
      </c>
      <c r="C21" s="14" t="s">
        <v>9</v>
      </c>
      <c r="D21" s="1" t="s">
        <v>103</v>
      </c>
      <c r="E21" s="10" t="s">
        <v>345</v>
      </c>
      <c r="F21" s="14"/>
      <c r="G21" s="12" t="s">
        <v>104</v>
      </c>
      <c r="H21" s="10" t="s">
        <v>345</v>
      </c>
      <c r="I21" s="14"/>
      <c r="J21" s="9" t="s">
        <v>105</v>
      </c>
      <c r="K21" s="10" t="s">
        <v>345</v>
      </c>
      <c r="L21" s="14"/>
      <c r="M21" s="9" t="s">
        <v>106</v>
      </c>
      <c r="N21" s="10">
        <v>10.0</v>
      </c>
      <c r="O21" s="14" t="s">
        <v>9</v>
      </c>
      <c r="P21" s="1" t="s">
        <v>101</v>
      </c>
      <c r="Q21" s="10">
        <v>6.0</v>
      </c>
      <c r="R21" s="14" t="s">
        <v>9</v>
      </c>
      <c r="S21" s="1" t="s">
        <v>102</v>
      </c>
      <c r="T21" s="9"/>
      <c r="U21" s="9"/>
      <c r="V21" s="100" t="s">
        <v>120</v>
      </c>
      <c r="W21" s="101">
        <v>7.0</v>
      </c>
      <c r="X21" s="100"/>
      <c r="Y21" s="100" t="s">
        <v>116</v>
      </c>
      <c r="Z21" s="101">
        <v>0.0</v>
      </c>
    </row>
    <row r="22" ht="12.75" customHeight="1">
      <c r="A22" s="9"/>
      <c r="B22" s="10"/>
      <c r="C22" s="3"/>
      <c r="D22" s="9"/>
      <c r="E22" s="10"/>
      <c r="F22" s="3"/>
      <c r="G22" s="9"/>
      <c r="H22" s="10" t="s">
        <v>345</v>
      </c>
      <c r="I22" s="3"/>
      <c r="J22" s="9"/>
      <c r="K22" s="10"/>
      <c r="L22" s="3"/>
      <c r="M22" s="9"/>
      <c r="N22" s="10"/>
      <c r="O22" s="3"/>
      <c r="P22" s="9"/>
      <c r="Q22" s="10"/>
      <c r="R22" s="26"/>
      <c r="S22" s="9"/>
      <c r="T22" s="9"/>
      <c r="U22" s="9"/>
      <c r="V22" s="100" t="s">
        <v>127</v>
      </c>
      <c r="W22" s="101">
        <v>0.0</v>
      </c>
      <c r="X22" s="100"/>
      <c r="Y22" s="100" t="s">
        <v>123</v>
      </c>
      <c r="Z22" s="101">
        <v>5.0</v>
      </c>
    </row>
    <row r="23" ht="12.75" customHeight="1">
      <c r="A23" s="9" t="s">
        <v>109</v>
      </c>
      <c r="B23" s="10" t="s">
        <v>345</v>
      </c>
      <c r="C23" s="14"/>
      <c r="D23" s="9" t="s">
        <v>110</v>
      </c>
      <c r="E23" s="10">
        <v>6.0</v>
      </c>
      <c r="F23" s="14" t="s">
        <v>9</v>
      </c>
      <c r="G23" s="5" t="s">
        <v>111</v>
      </c>
      <c r="H23" s="10">
        <v>5.0</v>
      </c>
      <c r="I23" s="14" t="s">
        <v>9</v>
      </c>
      <c r="J23" s="1" t="s">
        <v>112</v>
      </c>
      <c r="K23" s="10">
        <v>7.0</v>
      </c>
      <c r="L23" s="14" t="s">
        <v>9</v>
      </c>
      <c r="M23" s="1" t="s">
        <v>113</v>
      </c>
      <c r="N23" s="10" t="s">
        <v>345</v>
      </c>
      <c r="O23" s="14"/>
      <c r="P23" s="9" t="s">
        <v>114</v>
      </c>
      <c r="Q23" s="10">
        <v>3.0</v>
      </c>
      <c r="R23" s="14" t="s">
        <v>9</v>
      </c>
      <c r="S23" s="5" t="s">
        <v>115</v>
      </c>
      <c r="T23" s="9"/>
      <c r="U23" s="9"/>
      <c r="V23" s="100"/>
      <c r="W23" s="101">
        <v>44.0</v>
      </c>
      <c r="X23" s="100"/>
      <c r="Y23" s="100"/>
      <c r="Z23" s="101">
        <v>51.0</v>
      </c>
    </row>
    <row r="24" ht="12.75" customHeight="1">
      <c r="A24" s="9"/>
      <c r="B24" s="10">
        <v>0.0</v>
      </c>
      <c r="C24" s="14" t="s">
        <v>9</v>
      </c>
      <c r="D24" s="1" t="s">
        <v>116</v>
      </c>
      <c r="E24" s="10" t="s">
        <v>345</v>
      </c>
      <c r="F24" s="14"/>
      <c r="G24" s="12" t="s">
        <v>117</v>
      </c>
      <c r="H24" s="10" t="s">
        <v>345</v>
      </c>
      <c r="I24" s="14"/>
      <c r="J24" s="9" t="s">
        <v>118</v>
      </c>
      <c r="K24" s="10" t="s">
        <v>345</v>
      </c>
      <c r="L24" s="14"/>
      <c r="M24" s="12" t="s">
        <v>121</v>
      </c>
      <c r="N24" s="10">
        <v>7.0</v>
      </c>
      <c r="O24" s="14" t="s">
        <v>9</v>
      </c>
      <c r="P24" s="1" t="s">
        <v>120</v>
      </c>
      <c r="Q24" s="10" t="s">
        <v>345</v>
      </c>
      <c r="R24" s="14"/>
      <c r="S24" s="12" t="s">
        <v>362</v>
      </c>
      <c r="T24" s="9"/>
      <c r="U24" s="9"/>
      <c r="V24" s="100"/>
      <c r="W24" s="101"/>
      <c r="X24" s="100"/>
      <c r="Y24" s="100"/>
      <c r="Z24" s="101"/>
    </row>
    <row r="25" ht="12.75" customHeight="1">
      <c r="A25" s="9"/>
      <c r="B25" s="10"/>
      <c r="C25" s="3"/>
      <c r="D25" s="9"/>
      <c r="E25" s="10"/>
      <c r="F25" s="3"/>
      <c r="G25" s="9"/>
      <c r="H25" s="10" t="s">
        <v>345</v>
      </c>
      <c r="I25" s="3"/>
      <c r="J25" s="9"/>
      <c r="K25" s="10"/>
      <c r="L25" s="3"/>
      <c r="M25" s="9"/>
      <c r="N25" s="10"/>
      <c r="O25" s="3"/>
      <c r="P25" s="9"/>
      <c r="Q25" s="10"/>
      <c r="R25" s="26"/>
      <c r="S25" s="9"/>
      <c r="T25" s="9"/>
      <c r="U25" s="9"/>
      <c r="V25" s="98" t="s">
        <v>321</v>
      </c>
      <c r="W25" s="99"/>
      <c r="X25" s="98"/>
      <c r="Y25" s="98" t="s">
        <v>326</v>
      </c>
      <c r="Z25" s="99"/>
    </row>
    <row r="26" ht="12.75" customHeight="1">
      <c r="A26" s="9" t="s">
        <v>122</v>
      </c>
      <c r="B26" s="10">
        <v>5.0</v>
      </c>
      <c r="C26" s="14" t="s">
        <v>9</v>
      </c>
      <c r="D26" s="5" t="s">
        <v>123</v>
      </c>
      <c r="E26" s="10">
        <v>4.0</v>
      </c>
      <c r="F26" s="14" t="s">
        <v>9</v>
      </c>
      <c r="G26" s="5" t="s">
        <v>124</v>
      </c>
      <c r="H26" s="10">
        <v>4.0</v>
      </c>
      <c r="I26" s="14" t="s">
        <v>9</v>
      </c>
      <c r="J26" s="1" t="s">
        <v>125</v>
      </c>
      <c r="K26" s="10">
        <v>5.0</v>
      </c>
      <c r="L26" s="14" t="s">
        <v>9</v>
      </c>
      <c r="M26" s="1" t="s">
        <v>126</v>
      </c>
      <c r="N26" s="10">
        <v>0.0</v>
      </c>
      <c r="O26" s="14" t="s">
        <v>9</v>
      </c>
      <c r="P26" s="1" t="s">
        <v>127</v>
      </c>
      <c r="Q26" s="10" t="s">
        <v>345</v>
      </c>
      <c r="R26" s="14"/>
      <c r="S26" s="12" t="s">
        <v>128</v>
      </c>
      <c r="T26" s="9"/>
      <c r="U26" s="9"/>
      <c r="V26" s="100" t="s">
        <v>11</v>
      </c>
      <c r="W26" s="101">
        <v>6.0</v>
      </c>
      <c r="X26" s="100"/>
      <c r="Y26" s="100" t="s">
        <v>153</v>
      </c>
      <c r="Z26" s="101">
        <v>6.0</v>
      </c>
    </row>
    <row r="27" ht="12.75" customHeight="1">
      <c r="A27" s="9"/>
      <c r="B27" s="10" t="s">
        <v>345</v>
      </c>
      <c r="C27" s="14"/>
      <c r="D27" s="9" t="s">
        <v>129</v>
      </c>
      <c r="E27" s="10" t="s">
        <v>345</v>
      </c>
      <c r="F27" s="14"/>
      <c r="G27" s="9" t="s">
        <v>130</v>
      </c>
      <c r="H27" s="10" t="s">
        <v>345</v>
      </c>
      <c r="I27" s="14"/>
      <c r="J27" s="12" t="s">
        <v>131</v>
      </c>
      <c r="K27" s="10" t="s">
        <v>345</v>
      </c>
      <c r="L27" s="14"/>
      <c r="M27" s="9" t="s">
        <v>132</v>
      </c>
      <c r="N27" s="10" t="s">
        <v>345</v>
      </c>
      <c r="O27" s="14"/>
      <c r="P27" s="12" t="s">
        <v>133</v>
      </c>
      <c r="Q27" s="10">
        <v>7.0</v>
      </c>
      <c r="R27" s="14" t="s">
        <v>9</v>
      </c>
      <c r="S27" s="1" t="s">
        <v>134</v>
      </c>
      <c r="T27" s="9"/>
      <c r="U27" s="9"/>
      <c r="V27" s="100" t="s">
        <v>30</v>
      </c>
      <c r="W27" s="101">
        <v>8.0</v>
      </c>
      <c r="X27" s="100"/>
      <c r="Y27" s="100" t="s">
        <v>171</v>
      </c>
      <c r="Z27" s="101">
        <v>4.0</v>
      </c>
    </row>
    <row r="28" ht="12.75" customHeight="1">
      <c r="A28" s="9"/>
      <c r="B28" s="2"/>
      <c r="C28" s="3"/>
      <c r="D28" s="9"/>
      <c r="E28" s="10"/>
      <c r="F28" s="3"/>
      <c r="G28" s="9"/>
      <c r="H28" s="10"/>
      <c r="I28" s="3"/>
      <c r="J28" s="9"/>
      <c r="K28" s="10"/>
      <c r="L28" s="3"/>
      <c r="M28" s="9"/>
      <c r="N28" s="10"/>
      <c r="O28" s="3"/>
      <c r="P28" s="12" t="s">
        <v>95</v>
      </c>
      <c r="Q28" s="10"/>
      <c r="R28" s="26"/>
      <c r="S28" s="9"/>
      <c r="T28" s="9"/>
      <c r="U28" s="9"/>
      <c r="V28" s="100" t="s">
        <v>36</v>
      </c>
      <c r="W28" s="101">
        <v>0.0</v>
      </c>
      <c r="X28" s="100"/>
      <c r="Y28" s="100" t="s">
        <v>177</v>
      </c>
      <c r="Z28" s="101">
        <v>2.0</v>
      </c>
    </row>
    <row r="29" ht="12.75" customHeight="1">
      <c r="A29" s="19"/>
      <c r="B29" s="20"/>
      <c r="C29" s="21"/>
      <c r="D29" s="22">
        <v>51.0</v>
      </c>
      <c r="E29" s="20"/>
      <c r="F29" s="21"/>
      <c r="G29" s="22">
        <v>66.0</v>
      </c>
      <c r="H29" s="20"/>
      <c r="I29" s="21"/>
      <c r="J29" s="22">
        <v>56.0</v>
      </c>
      <c r="K29" s="20"/>
      <c r="L29" s="21"/>
      <c r="M29" s="22">
        <v>43.0</v>
      </c>
      <c r="N29" s="20"/>
      <c r="O29" s="21"/>
      <c r="P29" s="22">
        <v>44.0</v>
      </c>
      <c r="Q29" s="20"/>
      <c r="R29" s="22"/>
      <c r="S29" s="22">
        <v>44.0</v>
      </c>
      <c r="T29" s="19"/>
      <c r="U29" s="19"/>
      <c r="V29" s="100" t="s">
        <v>55</v>
      </c>
      <c r="W29" s="101">
        <v>2.0</v>
      </c>
      <c r="X29" s="100"/>
      <c r="Y29" s="100" t="s">
        <v>364</v>
      </c>
      <c r="Z29" s="101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29"/>
      <c r="S30" s="9"/>
      <c r="T30" s="9"/>
      <c r="U30" s="9"/>
      <c r="V30" s="100" t="s">
        <v>73</v>
      </c>
      <c r="W30" s="101">
        <v>6.0</v>
      </c>
      <c r="X30" s="100"/>
      <c r="Y30" s="100" t="s">
        <v>201</v>
      </c>
      <c r="Z30" s="101">
        <v>0.0</v>
      </c>
    </row>
    <row r="31" ht="12.75" customHeight="1">
      <c r="A31" s="9" t="s">
        <v>135</v>
      </c>
      <c r="B31" s="2"/>
      <c r="C31" s="3"/>
      <c r="D31" s="9" t="s">
        <v>136</v>
      </c>
      <c r="E31" s="2"/>
      <c r="F31" s="6"/>
      <c r="G31" s="9" t="s">
        <v>137</v>
      </c>
      <c r="H31" s="2"/>
      <c r="I31" s="6"/>
      <c r="J31" s="9" t="s">
        <v>138</v>
      </c>
      <c r="K31" s="2"/>
      <c r="L31" s="6"/>
      <c r="M31" s="9" t="s">
        <v>139</v>
      </c>
      <c r="N31" s="2"/>
      <c r="O31" s="6"/>
      <c r="P31" s="9" t="s">
        <v>140</v>
      </c>
      <c r="Q31" s="2"/>
      <c r="R31" s="29"/>
      <c r="S31" s="9" t="s">
        <v>141</v>
      </c>
      <c r="T31" s="9"/>
      <c r="U31" s="9"/>
      <c r="V31" s="100" t="s">
        <v>86</v>
      </c>
      <c r="W31" s="101">
        <v>0.0</v>
      </c>
      <c r="X31" s="100"/>
      <c r="Y31" s="100" t="s">
        <v>219</v>
      </c>
      <c r="Z31" s="101">
        <v>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142</v>
      </c>
      <c r="Q32" s="2"/>
      <c r="R32" s="29"/>
      <c r="S32" s="9"/>
      <c r="T32" s="9"/>
      <c r="U32" s="9"/>
      <c r="V32" s="100" t="s">
        <v>100</v>
      </c>
      <c r="W32" s="101">
        <v>9.0</v>
      </c>
      <c r="X32" s="100"/>
      <c r="Y32" s="100" t="s">
        <v>237</v>
      </c>
      <c r="Z32" s="101">
        <v>7.0</v>
      </c>
    </row>
    <row r="33" ht="12.75" customHeight="1">
      <c r="A33" s="9"/>
      <c r="B33" s="2"/>
      <c r="C33" s="3"/>
      <c r="D33" s="25"/>
      <c r="E33" s="26"/>
      <c r="F33" s="26"/>
      <c r="G33" s="25"/>
      <c r="H33" s="26"/>
      <c r="I33" s="26"/>
      <c r="J33" s="25"/>
      <c r="K33" s="25"/>
      <c r="L33" s="26"/>
      <c r="M33" s="25"/>
      <c r="P33" s="25"/>
      <c r="R33" s="26"/>
      <c r="S33" s="25"/>
      <c r="T33" s="6"/>
      <c r="U33" s="26"/>
      <c r="V33" s="103" t="s">
        <v>113</v>
      </c>
      <c r="W33" s="101">
        <v>7.0</v>
      </c>
      <c r="X33" s="100"/>
      <c r="Y33" s="100" t="s">
        <v>255</v>
      </c>
      <c r="Z33" s="101">
        <v>0.0</v>
      </c>
    </row>
    <row r="34" ht="12.75" customHeight="1">
      <c r="A34" s="9" t="s">
        <v>143</v>
      </c>
      <c r="B34" s="9"/>
      <c r="C34" s="3"/>
      <c r="D34" s="25"/>
      <c r="E34" s="26"/>
      <c r="F34" s="26"/>
      <c r="G34" s="25"/>
      <c r="H34" s="26"/>
      <c r="I34" s="26"/>
      <c r="J34" s="25"/>
      <c r="K34" s="25"/>
      <c r="L34" s="26"/>
      <c r="M34" s="25"/>
      <c r="P34" s="25"/>
      <c r="R34" s="26"/>
      <c r="S34" s="25"/>
      <c r="T34" s="6"/>
      <c r="U34" s="26"/>
      <c r="V34" s="103" t="s">
        <v>126</v>
      </c>
      <c r="W34" s="101">
        <v>5.0</v>
      </c>
      <c r="X34" s="100"/>
      <c r="Y34" s="100" t="s">
        <v>261</v>
      </c>
      <c r="Z34" s="101">
        <v>5.0</v>
      </c>
    </row>
    <row r="35" ht="12.75" customHeight="1">
      <c r="A35" s="9"/>
      <c r="B35" s="9"/>
      <c r="C35" s="3"/>
      <c r="D35" s="12"/>
      <c r="E35" s="26"/>
      <c r="F35" s="26"/>
      <c r="G35" s="12"/>
      <c r="H35" s="26"/>
      <c r="I35" s="26"/>
      <c r="J35" s="25"/>
      <c r="K35" s="25"/>
      <c r="L35" s="26"/>
      <c r="M35" s="25"/>
      <c r="P35" s="25"/>
      <c r="R35" s="26"/>
      <c r="S35" s="25"/>
      <c r="T35" s="6"/>
      <c r="U35" s="9"/>
      <c r="V35" s="103"/>
      <c r="W35" s="101">
        <v>43.0</v>
      </c>
      <c r="X35" s="100"/>
      <c r="Y35" s="100"/>
      <c r="Z35" s="101">
        <v>24.0</v>
      </c>
    </row>
    <row r="36" ht="12.75" customHeight="1">
      <c r="A36" s="9"/>
      <c r="B36" s="2"/>
      <c r="C36" s="3"/>
      <c r="D36" s="12"/>
      <c r="E36" s="2"/>
      <c r="F36" s="6"/>
      <c r="G36" s="12"/>
      <c r="H36" s="2"/>
      <c r="I36" s="6"/>
      <c r="J36" s="25"/>
      <c r="K36" s="9"/>
      <c r="L36" s="6"/>
      <c r="M36" s="25"/>
      <c r="N36" s="26"/>
      <c r="O36" s="26"/>
      <c r="P36" s="25"/>
      <c r="Q36" s="26"/>
      <c r="R36" s="26"/>
      <c r="S36" s="25"/>
      <c r="T36" s="6"/>
      <c r="U36" s="6"/>
      <c r="V36" s="100"/>
      <c r="W36" s="101"/>
      <c r="X36" s="100"/>
      <c r="Y36" s="100"/>
      <c r="Z36" s="101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29"/>
      <c r="S37" s="9"/>
      <c r="T37" s="9"/>
      <c r="U37" s="9"/>
      <c r="V37" s="98" t="s">
        <v>324</v>
      </c>
      <c r="W37" s="99"/>
      <c r="X37" s="98"/>
      <c r="Y37" s="98" t="s">
        <v>325</v>
      </c>
      <c r="Z37" s="99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29"/>
      <c r="S38" s="9"/>
      <c r="T38" s="9"/>
      <c r="U38" s="9"/>
      <c r="V38" s="100" t="s">
        <v>151</v>
      </c>
      <c r="W38" s="101">
        <v>13.0</v>
      </c>
      <c r="X38" s="100"/>
      <c r="Y38" s="100" t="s">
        <v>152</v>
      </c>
      <c r="Z38" s="101">
        <v>19.0</v>
      </c>
    </row>
    <row r="39" ht="12.75" customHeight="1">
      <c r="A39" s="1" t="s">
        <v>144</v>
      </c>
      <c r="B39" s="2"/>
      <c r="C39" s="3"/>
      <c r="D39" s="5" t="s">
        <v>145</v>
      </c>
      <c r="E39" s="2"/>
      <c r="F39" s="1"/>
      <c r="G39" s="5" t="s">
        <v>146</v>
      </c>
      <c r="H39" s="2"/>
      <c r="I39" s="1"/>
      <c r="J39" s="5" t="s">
        <v>147</v>
      </c>
      <c r="K39" s="2"/>
      <c r="L39" s="1"/>
      <c r="M39" s="5" t="s">
        <v>148</v>
      </c>
      <c r="N39" s="2"/>
      <c r="O39" s="1"/>
      <c r="P39" s="5" t="s">
        <v>149</v>
      </c>
      <c r="Q39" s="2"/>
      <c r="R39" s="29"/>
      <c r="S39" s="5" t="s">
        <v>150</v>
      </c>
      <c r="T39" s="1"/>
      <c r="U39" s="1"/>
      <c r="V39" s="100" t="s">
        <v>169</v>
      </c>
      <c r="W39" s="101">
        <v>0.0</v>
      </c>
      <c r="X39" s="100"/>
      <c r="Y39" s="100" t="s">
        <v>170</v>
      </c>
      <c r="Z39" s="101">
        <v>8.0</v>
      </c>
    </row>
    <row r="40" ht="12.75" customHeight="1">
      <c r="A40" s="9" t="s">
        <v>6</v>
      </c>
      <c r="B40" s="10">
        <v>13.0</v>
      </c>
      <c r="C40" s="14" t="s">
        <v>9</v>
      </c>
      <c r="D40" s="1" t="s">
        <v>151</v>
      </c>
      <c r="E40" s="10">
        <v>19.0</v>
      </c>
      <c r="F40" s="14" t="s">
        <v>9</v>
      </c>
      <c r="G40" s="1" t="s">
        <v>152</v>
      </c>
      <c r="H40" s="10">
        <v>6.0</v>
      </c>
      <c r="I40" s="14" t="s">
        <v>9</v>
      </c>
      <c r="J40" s="1" t="s">
        <v>153</v>
      </c>
      <c r="K40" s="10">
        <v>26.0</v>
      </c>
      <c r="L40" s="14" t="s">
        <v>9</v>
      </c>
      <c r="M40" s="1" t="s">
        <v>154</v>
      </c>
      <c r="N40" s="10">
        <v>11.0</v>
      </c>
      <c r="O40" s="14" t="s">
        <v>9</v>
      </c>
      <c r="P40" s="1" t="s">
        <v>155</v>
      </c>
      <c r="Q40" s="10" t="s">
        <v>345</v>
      </c>
      <c r="R40" s="14"/>
      <c r="S40" s="9" t="s">
        <v>156</v>
      </c>
      <c r="T40" s="9"/>
      <c r="U40" s="9"/>
      <c r="V40" s="100" t="s">
        <v>181</v>
      </c>
      <c r="W40" s="101">
        <v>0.0</v>
      </c>
      <c r="X40" s="100"/>
      <c r="Y40" s="100" t="s">
        <v>176</v>
      </c>
      <c r="Z40" s="101">
        <v>9.0</v>
      </c>
    </row>
    <row r="41" ht="12.75" customHeight="1">
      <c r="A41" s="9"/>
      <c r="B41" s="10" t="s">
        <v>345</v>
      </c>
      <c r="C41" s="14"/>
      <c r="D41" s="9" t="s">
        <v>163</v>
      </c>
      <c r="E41" s="10" t="s">
        <v>345</v>
      </c>
      <c r="F41" s="14"/>
      <c r="G41" s="9" t="s">
        <v>158</v>
      </c>
      <c r="H41" s="10" t="s">
        <v>345</v>
      </c>
      <c r="I41" s="14"/>
      <c r="J41" s="9" t="s">
        <v>363</v>
      </c>
      <c r="K41" s="10" t="s">
        <v>345</v>
      </c>
      <c r="L41" s="14"/>
      <c r="M41" s="9" t="s">
        <v>160</v>
      </c>
      <c r="N41" s="10" t="s">
        <v>345</v>
      </c>
      <c r="O41" s="14"/>
      <c r="P41" s="12" t="s">
        <v>161</v>
      </c>
      <c r="Q41" s="10">
        <v>34.0</v>
      </c>
      <c r="R41" s="14" t="s">
        <v>9</v>
      </c>
      <c r="S41" s="1" t="s">
        <v>162</v>
      </c>
      <c r="T41" s="9"/>
      <c r="U41" s="9"/>
      <c r="V41" s="100" t="s">
        <v>193</v>
      </c>
      <c r="W41" s="101">
        <v>6.0</v>
      </c>
      <c r="X41" s="100"/>
      <c r="Y41" s="100" t="s">
        <v>194</v>
      </c>
      <c r="Z41" s="101">
        <v>0.0</v>
      </c>
    </row>
    <row r="42" ht="12.75" customHeight="1">
      <c r="A42" s="9"/>
      <c r="B42" s="10" t="s">
        <v>345</v>
      </c>
      <c r="C42" s="14"/>
      <c r="D42" s="12" t="s">
        <v>157</v>
      </c>
      <c r="E42" s="10" t="s">
        <v>345</v>
      </c>
      <c r="F42" s="14"/>
      <c r="G42" s="12" t="s">
        <v>164</v>
      </c>
      <c r="H42" s="10" t="s">
        <v>345</v>
      </c>
      <c r="I42" s="14"/>
      <c r="J42" s="12" t="s">
        <v>365</v>
      </c>
      <c r="K42" s="10" t="s">
        <v>345</v>
      </c>
      <c r="L42" s="14"/>
      <c r="M42" s="12" t="s">
        <v>159</v>
      </c>
      <c r="N42" s="10" t="s">
        <v>345</v>
      </c>
      <c r="O42" s="14"/>
      <c r="P42" s="12" t="s">
        <v>167</v>
      </c>
      <c r="Q42" s="10" t="s">
        <v>345</v>
      </c>
      <c r="R42" s="25"/>
      <c r="S42" s="12" t="s">
        <v>168</v>
      </c>
      <c r="T42" s="9"/>
      <c r="U42" s="9"/>
      <c r="V42" s="100" t="s">
        <v>205</v>
      </c>
      <c r="W42" s="101">
        <v>0.0</v>
      </c>
      <c r="X42" s="100"/>
      <c r="Y42" s="100" t="s">
        <v>200</v>
      </c>
      <c r="Z42" s="101">
        <v>6.0</v>
      </c>
    </row>
    <row r="43" ht="12.75" customHeight="1">
      <c r="A43" s="9"/>
      <c r="B43" s="10"/>
      <c r="C43" s="3"/>
      <c r="D43" s="9"/>
      <c r="E43" s="10"/>
      <c r="F43" s="3"/>
      <c r="G43" s="9"/>
      <c r="H43" s="10"/>
      <c r="I43" s="3"/>
      <c r="J43" s="9"/>
      <c r="K43" s="10"/>
      <c r="L43" s="3"/>
      <c r="M43" s="9"/>
      <c r="N43" s="10"/>
      <c r="O43" s="3"/>
      <c r="P43" s="9"/>
      <c r="Q43" s="10"/>
      <c r="R43" s="26"/>
      <c r="S43" s="9"/>
      <c r="T43" s="9"/>
      <c r="U43" s="9"/>
      <c r="V43" s="100" t="s">
        <v>229</v>
      </c>
      <c r="W43" s="101">
        <v>8.0</v>
      </c>
      <c r="X43" s="100"/>
      <c r="Y43" s="100" t="s">
        <v>218</v>
      </c>
      <c r="Z43" s="101">
        <v>3.0</v>
      </c>
    </row>
    <row r="44" ht="12.75" customHeight="1">
      <c r="A44" s="9" t="s">
        <v>26</v>
      </c>
      <c r="B44" s="10">
        <v>0.0</v>
      </c>
      <c r="C44" s="14" t="s">
        <v>9</v>
      </c>
      <c r="D44" s="1" t="s">
        <v>169</v>
      </c>
      <c r="E44" s="10">
        <v>8.0</v>
      </c>
      <c r="F44" s="14" t="s">
        <v>9</v>
      </c>
      <c r="G44" s="1" t="s">
        <v>170</v>
      </c>
      <c r="H44" s="10">
        <v>4.0</v>
      </c>
      <c r="I44" s="14" t="s">
        <v>9</v>
      </c>
      <c r="J44" s="1" t="s">
        <v>171</v>
      </c>
      <c r="K44" s="10">
        <v>12.0</v>
      </c>
      <c r="L44" s="14" t="s">
        <v>9</v>
      </c>
      <c r="M44" s="1" t="s">
        <v>172</v>
      </c>
      <c r="N44" s="10">
        <v>0.0</v>
      </c>
      <c r="O44" s="14" t="s">
        <v>9</v>
      </c>
      <c r="P44" s="5" t="s">
        <v>173</v>
      </c>
      <c r="Q44" s="10">
        <v>8.0</v>
      </c>
      <c r="R44" s="14" t="s">
        <v>9</v>
      </c>
      <c r="S44" s="1" t="s">
        <v>174</v>
      </c>
      <c r="T44" s="9"/>
      <c r="U44" s="9"/>
      <c r="V44" s="100" t="s">
        <v>235</v>
      </c>
      <c r="W44" s="101">
        <v>6.0</v>
      </c>
      <c r="X44" s="100"/>
      <c r="Y44" s="100" t="s">
        <v>242</v>
      </c>
      <c r="Z44" s="101">
        <v>9.0</v>
      </c>
    </row>
    <row r="45" ht="12.75" customHeight="1">
      <c r="A45" s="9"/>
      <c r="B45" s="10" t="s">
        <v>345</v>
      </c>
      <c r="C45" s="14"/>
      <c r="D45" s="9" t="s">
        <v>175</v>
      </c>
      <c r="E45" s="10">
        <v>9.0</v>
      </c>
      <c r="F45" s="14" t="s">
        <v>9</v>
      </c>
      <c r="G45" s="1" t="s">
        <v>176</v>
      </c>
      <c r="H45" s="10">
        <v>2.0</v>
      </c>
      <c r="I45" s="14" t="s">
        <v>9</v>
      </c>
      <c r="J45" s="5" t="s">
        <v>177</v>
      </c>
      <c r="K45" s="10">
        <v>0.0</v>
      </c>
      <c r="L45" s="14" t="s">
        <v>9</v>
      </c>
      <c r="M45" s="1" t="s">
        <v>178</v>
      </c>
      <c r="N45" s="10" t="s">
        <v>345</v>
      </c>
      <c r="O45" s="14"/>
      <c r="P45" s="9" t="s">
        <v>179</v>
      </c>
      <c r="Q45" s="10">
        <v>0.0</v>
      </c>
      <c r="R45" s="14" t="s">
        <v>9</v>
      </c>
      <c r="S45" s="1" t="s">
        <v>180</v>
      </c>
      <c r="T45" s="9"/>
      <c r="U45" s="9"/>
      <c r="V45" s="100" t="s">
        <v>247</v>
      </c>
      <c r="W45" s="101">
        <v>0.0</v>
      </c>
      <c r="X45" s="100"/>
      <c r="Y45" s="100" t="s">
        <v>254</v>
      </c>
      <c r="Z45" s="101">
        <v>5.0</v>
      </c>
    </row>
    <row r="46" ht="12.75" customHeight="1">
      <c r="A46" s="9"/>
      <c r="B46" s="10">
        <v>0.0</v>
      </c>
      <c r="C46" s="14" t="s">
        <v>9</v>
      </c>
      <c r="D46" s="5" t="s">
        <v>181</v>
      </c>
      <c r="E46" s="10" t="s">
        <v>345</v>
      </c>
      <c r="F46" s="14"/>
      <c r="G46" s="9" t="s">
        <v>182</v>
      </c>
      <c r="H46" s="10" t="s">
        <v>345</v>
      </c>
      <c r="I46" s="14"/>
      <c r="J46" s="12" t="s">
        <v>183</v>
      </c>
      <c r="K46" s="10" t="s">
        <v>345</v>
      </c>
      <c r="L46" s="14"/>
      <c r="M46" s="12" t="s">
        <v>184</v>
      </c>
      <c r="N46" s="10">
        <v>2.0</v>
      </c>
      <c r="O46" s="14" t="s">
        <v>9</v>
      </c>
      <c r="P46" s="4" t="s">
        <v>185</v>
      </c>
      <c r="Q46" s="10" t="s">
        <v>345</v>
      </c>
      <c r="R46" s="14"/>
      <c r="S46" s="12" t="s">
        <v>186</v>
      </c>
      <c r="T46" s="9"/>
      <c r="U46" s="9"/>
      <c r="V46" s="100" t="s">
        <v>259</v>
      </c>
      <c r="W46" s="101">
        <v>4.0</v>
      </c>
      <c r="X46" s="100"/>
      <c r="Y46" s="100" t="s">
        <v>260</v>
      </c>
      <c r="Z46" s="101">
        <v>0.0</v>
      </c>
    </row>
    <row r="47" ht="12.75" customHeight="1">
      <c r="A47" s="9"/>
      <c r="B47" s="10" t="s">
        <v>345</v>
      </c>
      <c r="C47" s="14"/>
      <c r="D47" s="12" t="s">
        <v>366</v>
      </c>
      <c r="E47" s="10" t="s">
        <v>345</v>
      </c>
      <c r="F47" s="14"/>
      <c r="G47" s="12" t="s">
        <v>188</v>
      </c>
      <c r="H47" s="10" t="s">
        <v>345</v>
      </c>
      <c r="I47" s="14"/>
      <c r="J47" s="12" t="s">
        <v>189</v>
      </c>
      <c r="K47" s="10" t="s">
        <v>345</v>
      </c>
      <c r="L47" s="14"/>
      <c r="M47" s="12" t="s">
        <v>37</v>
      </c>
      <c r="N47" s="10" t="s">
        <v>345</v>
      </c>
      <c r="O47" s="14"/>
      <c r="P47" s="12" t="s">
        <v>191</v>
      </c>
      <c r="Q47" s="10" t="s">
        <v>345</v>
      </c>
      <c r="R47" s="14"/>
      <c r="S47" s="9" t="s">
        <v>367</v>
      </c>
      <c r="T47" s="9"/>
      <c r="U47" s="9"/>
      <c r="V47" s="100"/>
      <c r="W47" s="101">
        <v>37.0</v>
      </c>
      <c r="X47" s="100"/>
      <c r="Y47" s="100"/>
      <c r="Z47" s="101">
        <v>59.0</v>
      </c>
    </row>
    <row r="48" ht="12.75" customHeight="1">
      <c r="A48" s="9"/>
      <c r="B48" s="10"/>
      <c r="C48" s="3"/>
      <c r="D48" s="9"/>
      <c r="E48" s="10"/>
      <c r="F48" s="3"/>
      <c r="G48" s="9"/>
      <c r="H48" s="10"/>
      <c r="I48" s="3"/>
      <c r="J48" s="9"/>
      <c r="K48" s="10"/>
      <c r="L48" s="3"/>
      <c r="M48" s="9"/>
      <c r="N48" s="10"/>
      <c r="O48" s="3"/>
      <c r="P48" s="9"/>
      <c r="Q48" s="10"/>
      <c r="R48" s="26"/>
      <c r="S48" s="9"/>
      <c r="T48" s="9"/>
      <c r="U48" s="9"/>
      <c r="V48" s="100"/>
      <c r="W48" s="101"/>
      <c r="X48" s="100"/>
      <c r="Y48" s="100"/>
      <c r="Z48" s="101"/>
    </row>
    <row r="49" ht="12.75" customHeight="1">
      <c r="A49" s="9" t="s">
        <v>51</v>
      </c>
      <c r="B49" s="10">
        <v>6.0</v>
      </c>
      <c r="C49" s="14" t="s">
        <v>9</v>
      </c>
      <c r="D49" s="1" t="s">
        <v>193</v>
      </c>
      <c r="E49" s="10">
        <v>0.0</v>
      </c>
      <c r="F49" s="14" t="s">
        <v>9</v>
      </c>
      <c r="G49" s="1" t="s">
        <v>194</v>
      </c>
      <c r="H49" s="10">
        <v>0.0</v>
      </c>
      <c r="I49" s="14" t="s">
        <v>9</v>
      </c>
      <c r="J49" s="1" t="s">
        <v>364</v>
      </c>
      <c r="K49" s="10">
        <v>0.0</v>
      </c>
      <c r="L49" s="14" t="s">
        <v>9</v>
      </c>
      <c r="M49" s="1" t="s">
        <v>196</v>
      </c>
      <c r="N49" s="10">
        <v>17.0</v>
      </c>
      <c r="O49" s="14" t="s">
        <v>9</v>
      </c>
      <c r="P49" s="1" t="s">
        <v>197</v>
      </c>
      <c r="Q49" s="10">
        <v>0.0</v>
      </c>
      <c r="R49" s="14" t="s">
        <v>9</v>
      </c>
      <c r="S49" s="5" t="s">
        <v>198</v>
      </c>
      <c r="T49" s="9"/>
      <c r="U49" s="9"/>
      <c r="V49" s="98" t="s">
        <v>328</v>
      </c>
      <c r="W49" s="99"/>
      <c r="X49" s="98"/>
      <c r="Y49" s="98" t="s">
        <v>320</v>
      </c>
      <c r="Z49" s="99"/>
    </row>
    <row r="50" ht="12.75" customHeight="1">
      <c r="A50" s="9"/>
      <c r="B50" s="10" t="s">
        <v>345</v>
      </c>
      <c r="C50" s="14"/>
      <c r="D50" s="9" t="s">
        <v>199</v>
      </c>
      <c r="E50" s="10">
        <v>6.0</v>
      </c>
      <c r="F50" s="14" t="s">
        <v>9</v>
      </c>
      <c r="G50" s="5" t="s">
        <v>200</v>
      </c>
      <c r="H50" s="10">
        <v>0.0</v>
      </c>
      <c r="I50" s="14" t="s">
        <v>9</v>
      </c>
      <c r="J50" s="1" t="s">
        <v>201</v>
      </c>
      <c r="K50" s="10" t="s">
        <v>345</v>
      </c>
      <c r="L50" s="14"/>
      <c r="M50" s="9" t="s">
        <v>202</v>
      </c>
      <c r="N50" s="10">
        <v>3.0</v>
      </c>
      <c r="O50" s="14" t="s">
        <v>9</v>
      </c>
      <c r="P50" s="1" t="s">
        <v>203</v>
      </c>
      <c r="Q50" s="10" t="s">
        <v>345</v>
      </c>
      <c r="R50" s="14"/>
      <c r="S50" s="9" t="s">
        <v>204</v>
      </c>
      <c r="T50" s="9"/>
      <c r="U50" s="9"/>
      <c r="V50" s="100" t="s">
        <v>155</v>
      </c>
      <c r="W50" s="101">
        <v>11.0</v>
      </c>
      <c r="X50" s="100"/>
      <c r="Y50" s="100" t="s">
        <v>22</v>
      </c>
      <c r="Z50" s="101">
        <v>16.0</v>
      </c>
    </row>
    <row r="51" ht="12.75" customHeight="1">
      <c r="A51" s="9"/>
      <c r="B51" s="10">
        <v>0.0</v>
      </c>
      <c r="C51" s="14" t="s">
        <v>9</v>
      </c>
      <c r="D51" s="1" t="s">
        <v>205</v>
      </c>
      <c r="E51" s="10" t="s">
        <v>345</v>
      </c>
      <c r="F51" s="14"/>
      <c r="G51" s="9" t="s">
        <v>206</v>
      </c>
      <c r="H51" s="10" t="s">
        <v>345</v>
      </c>
      <c r="I51" s="14"/>
      <c r="J51" s="18" t="s">
        <v>207</v>
      </c>
      <c r="K51" s="10" t="s">
        <v>345</v>
      </c>
      <c r="L51" s="14"/>
      <c r="M51" s="9" t="s">
        <v>208</v>
      </c>
      <c r="N51" s="10" t="s">
        <v>345</v>
      </c>
      <c r="O51" s="14"/>
      <c r="P51" s="9" t="s">
        <v>209</v>
      </c>
      <c r="Q51" s="10" t="s">
        <v>345</v>
      </c>
      <c r="R51" s="14"/>
      <c r="S51" s="9" t="s">
        <v>210</v>
      </c>
      <c r="T51" s="9"/>
      <c r="U51" s="9"/>
      <c r="V51" s="100" t="s">
        <v>173</v>
      </c>
      <c r="W51" s="101">
        <v>0.0</v>
      </c>
      <c r="X51" s="100"/>
      <c r="Y51" s="100" t="s">
        <v>29</v>
      </c>
      <c r="Z51" s="101">
        <v>0.0</v>
      </c>
    </row>
    <row r="52" ht="12.75" customHeight="1">
      <c r="A52" s="9"/>
      <c r="B52" s="10" t="s">
        <v>345</v>
      </c>
      <c r="C52" s="14"/>
      <c r="D52" s="12" t="s">
        <v>368</v>
      </c>
      <c r="E52" s="10" t="s">
        <v>345</v>
      </c>
      <c r="F52" s="14"/>
      <c r="G52" s="17" t="s">
        <v>212</v>
      </c>
      <c r="H52" s="10" t="s">
        <v>345</v>
      </c>
      <c r="I52" s="14"/>
      <c r="J52" s="12" t="s">
        <v>213</v>
      </c>
      <c r="K52" s="10">
        <v>0.0</v>
      </c>
      <c r="L52" s="14" t="s">
        <v>9</v>
      </c>
      <c r="M52" s="5" t="s">
        <v>349</v>
      </c>
      <c r="N52" s="10" t="s">
        <v>345</v>
      </c>
      <c r="O52" s="14"/>
      <c r="P52" s="12" t="s">
        <v>215</v>
      </c>
      <c r="Q52" s="10">
        <v>0.0</v>
      </c>
      <c r="R52" s="14" t="s">
        <v>9</v>
      </c>
      <c r="S52" s="5" t="s">
        <v>216</v>
      </c>
      <c r="T52" s="9"/>
      <c r="U52" s="9"/>
      <c r="V52" s="18" t="s">
        <v>185</v>
      </c>
      <c r="W52" s="101">
        <v>2.0</v>
      </c>
      <c r="X52" s="100"/>
      <c r="Y52" s="100" t="s">
        <v>35</v>
      </c>
      <c r="Z52" s="101">
        <v>6.0</v>
      </c>
    </row>
    <row r="53" ht="12.75" customHeight="1">
      <c r="A53" s="9"/>
      <c r="B53" s="10"/>
      <c r="C53" s="3"/>
      <c r="D53" s="9"/>
      <c r="E53" s="10"/>
      <c r="F53" s="3"/>
      <c r="G53" s="9"/>
      <c r="H53" s="10"/>
      <c r="I53" s="3"/>
      <c r="J53" s="9"/>
      <c r="K53" s="10"/>
      <c r="L53" s="3"/>
      <c r="M53" s="9"/>
      <c r="N53" s="10"/>
      <c r="O53" s="3"/>
      <c r="P53" s="9"/>
      <c r="Q53" s="10"/>
      <c r="R53" s="26"/>
      <c r="S53" s="9"/>
      <c r="T53" s="9"/>
      <c r="U53" s="9"/>
      <c r="V53" s="100" t="s">
        <v>197</v>
      </c>
      <c r="W53" s="101">
        <v>17.0</v>
      </c>
      <c r="X53" s="100"/>
      <c r="Y53" s="100" t="s">
        <v>54</v>
      </c>
      <c r="Z53" s="101">
        <v>11.0</v>
      </c>
    </row>
    <row r="54" ht="12.75" customHeight="1">
      <c r="A54" s="9" t="s">
        <v>76</v>
      </c>
      <c r="B54" s="10" t="s">
        <v>345</v>
      </c>
      <c r="C54" s="14"/>
      <c r="D54" s="9" t="s">
        <v>217</v>
      </c>
      <c r="E54" s="10">
        <v>3.0</v>
      </c>
      <c r="F54" s="14" t="s">
        <v>9</v>
      </c>
      <c r="G54" s="1" t="s">
        <v>218</v>
      </c>
      <c r="H54" s="10">
        <v>0.0</v>
      </c>
      <c r="I54" s="14" t="s">
        <v>9</v>
      </c>
      <c r="J54" s="1" t="s">
        <v>219</v>
      </c>
      <c r="K54" s="10" t="s">
        <v>345</v>
      </c>
      <c r="L54" s="14"/>
      <c r="M54" s="12" t="s">
        <v>220</v>
      </c>
      <c r="N54" s="10">
        <v>0.0</v>
      </c>
      <c r="O54" s="14" t="s">
        <v>9</v>
      </c>
      <c r="P54" s="1" t="s">
        <v>221</v>
      </c>
      <c r="Q54" s="10">
        <v>0.0</v>
      </c>
      <c r="R54" s="14" t="s">
        <v>9</v>
      </c>
      <c r="S54" s="1" t="s">
        <v>222</v>
      </c>
      <c r="T54" s="9"/>
      <c r="U54" s="9"/>
      <c r="V54" s="100" t="s">
        <v>203</v>
      </c>
      <c r="W54" s="101">
        <v>3.0</v>
      </c>
      <c r="X54" s="100"/>
      <c r="Y54" s="100" t="s">
        <v>60</v>
      </c>
      <c r="Z54" s="101">
        <v>6.0</v>
      </c>
    </row>
    <row r="55" ht="12.75" customHeight="1">
      <c r="A55" s="9"/>
      <c r="B55" s="10" t="s">
        <v>345</v>
      </c>
      <c r="C55" s="14"/>
      <c r="D55" s="12" t="s">
        <v>223</v>
      </c>
      <c r="E55" s="10" t="s">
        <v>345</v>
      </c>
      <c r="F55" s="14"/>
      <c r="G55" s="9" t="s">
        <v>224</v>
      </c>
      <c r="H55" s="10" t="s">
        <v>345</v>
      </c>
      <c r="I55" s="14"/>
      <c r="J55" s="9" t="s">
        <v>225</v>
      </c>
      <c r="K55" s="10">
        <v>0.0</v>
      </c>
      <c r="L55" s="14" t="s">
        <v>9</v>
      </c>
      <c r="M55" s="5" t="s">
        <v>226</v>
      </c>
      <c r="N55" s="10" t="s">
        <v>345</v>
      </c>
      <c r="O55" s="14"/>
      <c r="P55" s="9" t="s">
        <v>227</v>
      </c>
      <c r="Q55" s="10" t="s">
        <v>345</v>
      </c>
      <c r="R55" s="14"/>
      <c r="S55" s="12" t="s">
        <v>228</v>
      </c>
      <c r="T55" s="9"/>
      <c r="U55" s="9"/>
      <c r="V55" s="100" t="s">
        <v>221</v>
      </c>
      <c r="W55" s="101">
        <v>0.0</v>
      </c>
      <c r="X55" s="100"/>
      <c r="Y55" s="100" t="s">
        <v>91</v>
      </c>
      <c r="Z55" s="101">
        <v>3.0</v>
      </c>
    </row>
    <row r="56" ht="12.75" customHeight="1">
      <c r="A56" s="9"/>
      <c r="B56" s="10">
        <v>8.0</v>
      </c>
      <c r="C56" s="14" t="s">
        <v>9</v>
      </c>
      <c r="D56" s="5" t="s">
        <v>229</v>
      </c>
      <c r="E56" s="10" t="s">
        <v>345</v>
      </c>
      <c r="F56" s="14"/>
      <c r="G56" s="9" t="s">
        <v>230</v>
      </c>
      <c r="H56" s="10" t="s">
        <v>345</v>
      </c>
      <c r="I56" s="14"/>
      <c r="J56" s="12" t="s">
        <v>231</v>
      </c>
      <c r="K56" s="10" t="s">
        <v>345</v>
      </c>
      <c r="L56" s="14"/>
      <c r="M56" s="12" t="s">
        <v>369</v>
      </c>
      <c r="N56" s="10" t="s">
        <v>345</v>
      </c>
      <c r="O56" s="14"/>
      <c r="P56" s="9" t="s">
        <v>233</v>
      </c>
      <c r="Q56" s="10" t="s">
        <v>345</v>
      </c>
      <c r="R56" s="14"/>
      <c r="S56" s="12" t="s">
        <v>234</v>
      </c>
      <c r="T56" s="9"/>
      <c r="U56" s="9"/>
      <c r="V56" s="100" t="s">
        <v>239</v>
      </c>
      <c r="W56" s="101">
        <v>7.0</v>
      </c>
      <c r="X56" s="100"/>
      <c r="Y56" s="100" t="s">
        <v>99</v>
      </c>
      <c r="Z56" s="101">
        <v>5.0</v>
      </c>
    </row>
    <row r="57" ht="12.75" customHeight="1">
      <c r="A57" s="9"/>
      <c r="B57" s="10"/>
      <c r="C57" s="3"/>
      <c r="D57" s="9"/>
      <c r="E57" s="10"/>
      <c r="F57" s="3"/>
      <c r="G57" s="9"/>
      <c r="H57" s="10"/>
      <c r="I57" s="3"/>
      <c r="J57" s="9"/>
      <c r="K57" s="10"/>
      <c r="L57" s="3"/>
      <c r="M57" s="9"/>
      <c r="N57" s="10"/>
      <c r="O57" s="3"/>
      <c r="P57" s="9"/>
      <c r="Q57" s="10"/>
      <c r="R57" s="26"/>
      <c r="S57" s="9"/>
      <c r="T57" s="9"/>
      <c r="U57" s="9"/>
      <c r="V57" s="100" t="s">
        <v>251</v>
      </c>
      <c r="W57" s="101">
        <v>10.0</v>
      </c>
      <c r="X57" s="100"/>
      <c r="Y57" s="100" t="s">
        <v>112</v>
      </c>
      <c r="Z57" s="101">
        <v>5.0</v>
      </c>
    </row>
    <row r="58" ht="12.75" customHeight="1">
      <c r="A58" s="9" t="s">
        <v>96</v>
      </c>
      <c r="B58" s="10">
        <v>6.0</v>
      </c>
      <c r="C58" s="14" t="s">
        <v>9</v>
      </c>
      <c r="D58" s="1" t="s">
        <v>235</v>
      </c>
      <c r="E58" s="10" t="s">
        <v>345</v>
      </c>
      <c r="F58" s="14"/>
      <c r="G58" s="9" t="s">
        <v>236</v>
      </c>
      <c r="H58" s="10" t="s">
        <v>345</v>
      </c>
      <c r="I58" s="14"/>
      <c r="J58" s="9" t="s">
        <v>370</v>
      </c>
      <c r="K58" s="10">
        <v>7.0</v>
      </c>
      <c r="L58" s="14" t="s">
        <v>9</v>
      </c>
      <c r="M58" s="5" t="s">
        <v>238</v>
      </c>
      <c r="N58" s="10">
        <v>7.0</v>
      </c>
      <c r="O58" s="14" t="s">
        <v>9</v>
      </c>
      <c r="P58" s="5" t="s">
        <v>239</v>
      </c>
      <c r="Q58" s="10">
        <v>4.0</v>
      </c>
      <c r="R58" s="14" t="s">
        <v>9</v>
      </c>
      <c r="S58" s="1" t="s">
        <v>240</v>
      </c>
      <c r="T58" s="9"/>
      <c r="U58" s="9"/>
      <c r="V58" s="100" t="s">
        <v>263</v>
      </c>
      <c r="W58" s="101">
        <v>4.0</v>
      </c>
      <c r="X58" s="100"/>
      <c r="Y58" s="100" t="s">
        <v>125</v>
      </c>
      <c r="Z58" s="101">
        <v>4.0</v>
      </c>
    </row>
    <row r="59" ht="12.75" customHeight="1">
      <c r="A59" s="9"/>
      <c r="B59" s="10" t="s">
        <v>345</v>
      </c>
      <c r="C59" s="14"/>
      <c r="D59" s="12" t="s">
        <v>371</v>
      </c>
      <c r="E59" s="10">
        <v>9.0</v>
      </c>
      <c r="F59" s="14" t="s">
        <v>9</v>
      </c>
      <c r="G59" s="1" t="s">
        <v>242</v>
      </c>
      <c r="H59" s="10">
        <v>7.0</v>
      </c>
      <c r="I59" s="14" t="s">
        <v>9</v>
      </c>
      <c r="J59" s="1" t="s">
        <v>237</v>
      </c>
      <c r="K59" s="10" t="s">
        <v>345</v>
      </c>
      <c r="L59" s="14"/>
      <c r="M59" s="12" t="s">
        <v>244</v>
      </c>
      <c r="N59" s="10" t="s">
        <v>345</v>
      </c>
      <c r="O59" s="14"/>
      <c r="P59" s="12" t="s">
        <v>245</v>
      </c>
      <c r="Q59" s="10" t="s">
        <v>345</v>
      </c>
      <c r="R59" s="14"/>
      <c r="S59" s="12" t="s">
        <v>246</v>
      </c>
      <c r="T59" s="9"/>
      <c r="U59" s="9"/>
      <c r="V59" s="100"/>
      <c r="W59" s="101">
        <v>54.0</v>
      </c>
      <c r="X59" s="100"/>
      <c r="Y59" s="100"/>
      <c r="Z59" s="101">
        <v>56.0</v>
      </c>
    </row>
    <row r="60" ht="12.75" customHeight="1">
      <c r="A60" s="9"/>
      <c r="B60" s="10"/>
      <c r="C60" s="3"/>
      <c r="D60" s="9"/>
      <c r="E60" s="10"/>
      <c r="F60" s="3"/>
      <c r="G60" s="9"/>
      <c r="H60" s="10"/>
      <c r="I60" s="3"/>
      <c r="J60" s="9"/>
      <c r="K60" s="10"/>
      <c r="L60" s="3"/>
      <c r="M60" s="9"/>
      <c r="N60" s="10"/>
      <c r="O60" s="3"/>
      <c r="P60" s="9"/>
      <c r="Q60" s="10"/>
      <c r="R60" s="26"/>
      <c r="S60" s="9"/>
      <c r="T60" s="9"/>
      <c r="U60" s="9"/>
      <c r="V60" s="100"/>
      <c r="W60" s="101"/>
      <c r="X60" s="100"/>
      <c r="Y60" s="100"/>
      <c r="Z60" s="101"/>
    </row>
    <row r="61" ht="12.75" customHeight="1">
      <c r="A61" s="9" t="s">
        <v>109</v>
      </c>
      <c r="B61" s="10">
        <v>0.0</v>
      </c>
      <c r="C61" s="14" t="s">
        <v>9</v>
      </c>
      <c r="D61" s="1" t="s">
        <v>247</v>
      </c>
      <c r="E61" s="10" t="s">
        <v>345</v>
      </c>
      <c r="F61" s="14"/>
      <c r="G61" s="12" t="s">
        <v>248</v>
      </c>
      <c r="H61" s="10" t="s">
        <v>345</v>
      </c>
      <c r="I61" s="14"/>
      <c r="J61" s="12" t="s">
        <v>249</v>
      </c>
      <c r="K61" s="10">
        <v>4.0</v>
      </c>
      <c r="L61" s="14" t="s">
        <v>9</v>
      </c>
      <c r="M61" s="5" t="s">
        <v>250</v>
      </c>
      <c r="N61" s="10">
        <v>10.0</v>
      </c>
      <c r="O61" s="14" t="s">
        <v>9</v>
      </c>
      <c r="P61" s="1" t="s">
        <v>251</v>
      </c>
      <c r="Q61" s="10">
        <v>8.0</v>
      </c>
      <c r="R61" s="14" t="s">
        <v>9</v>
      </c>
      <c r="S61" s="5" t="s">
        <v>252</v>
      </c>
      <c r="T61" s="9"/>
      <c r="U61" s="9"/>
      <c r="V61" s="98" t="s">
        <v>329</v>
      </c>
      <c r="W61" s="99"/>
      <c r="X61" s="98"/>
      <c r="Y61" s="98" t="s">
        <v>323</v>
      </c>
      <c r="Z61" s="99"/>
    </row>
    <row r="62" ht="12.75" customHeight="1">
      <c r="A62" s="9"/>
      <c r="B62" s="10" t="s">
        <v>345</v>
      </c>
      <c r="C62" s="14"/>
      <c r="D62" s="9" t="s">
        <v>253</v>
      </c>
      <c r="E62" s="10">
        <v>5.0</v>
      </c>
      <c r="F62" s="14" t="s">
        <v>9</v>
      </c>
      <c r="G62" s="5" t="s">
        <v>254</v>
      </c>
      <c r="H62" s="10">
        <v>0.0</v>
      </c>
      <c r="I62" s="14" t="s">
        <v>9</v>
      </c>
      <c r="J62" s="5" t="s">
        <v>255</v>
      </c>
      <c r="K62" s="10" t="s">
        <v>345</v>
      </c>
      <c r="L62" s="14"/>
      <c r="M62" s="9" t="s">
        <v>256</v>
      </c>
      <c r="N62" s="10" t="s">
        <v>345</v>
      </c>
      <c r="O62" s="14"/>
      <c r="P62" s="12" t="s">
        <v>257</v>
      </c>
      <c r="Q62" s="10" t="s">
        <v>345</v>
      </c>
      <c r="R62" s="14"/>
      <c r="S62" s="12" t="s">
        <v>258</v>
      </c>
      <c r="T62" s="9"/>
      <c r="U62" s="9"/>
      <c r="V62" s="100" t="s">
        <v>162</v>
      </c>
      <c r="W62" s="101">
        <v>34.0</v>
      </c>
      <c r="X62" s="100"/>
      <c r="Y62" s="100" t="s">
        <v>13</v>
      </c>
      <c r="Z62" s="101">
        <v>14.0</v>
      </c>
    </row>
    <row r="63" ht="12.75" customHeight="1">
      <c r="A63" s="9"/>
      <c r="B63" s="10"/>
      <c r="C63" s="3"/>
      <c r="D63" s="9"/>
      <c r="E63" s="10"/>
      <c r="F63" s="3"/>
      <c r="G63" s="9"/>
      <c r="H63" s="10"/>
      <c r="I63" s="3"/>
      <c r="J63" s="9"/>
      <c r="K63" s="10"/>
      <c r="L63" s="3"/>
      <c r="M63" s="9"/>
      <c r="N63" s="10"/>
      <c r="O63" s="3"/>
      <c r="P63" s="9"/>
      <c r="Q63" s="10"/>
      <c r="R63" s="26"/>
      <c r="S63" s="9"/>
      <c r="T63" s="9"/>
      <c r="U63" s="9"/>
      <c r="V63" s="100" t="s">
        <v>174</v>
      </c>
      <c r="W63" s="101">
        <v>8.0</v>
      </c>
      <c r="X63" s="100"/>
      <c r="Y63" s="100" t="s">
        <v>32</v>
      </c>
      <c r="Z63" s="101">
        <v>6.0</v>
      </c>
    </row>
    <row r="64" ht="12.75" customHeight="1">
      <c r="A64" s="9" t="s">
        <v>122</v>
      </c>
      <c r="B64" s="10">
        <v>4.0</v>
      </c>
      <c r="C64" s="14" t="s">
        <v>9</v>
      </c>
      <c r="D64" s="5" t="s">
        <v>259</v>
      </c>
      <c r="E64" s="10">
        <v>0.0</v>
      </c>
      <c r="F64" s="14" t="s">
        <v>9</v>
      </c>
      <c r="G64" s="1" t="s">
        <v>260</v>
      </c>
      <c r="H64" s="10">
        <v>5.0</v>
      </c>
      <c r="I64" s="14" t="s">
        <v>9</v>
      </c>
      <c r="J64" s="1" t="s">
        <v>261</v>
      </c>
      <c r="K64" s="10">
        <v>5.0</v>
      </c>
      <c r="L64" s="14" t="s">
        <v>9</v>
      </c>
      <c r="M64" s="5" t="s">
        <v>262</v>
      </c>
      <c r="N64" s="10">
        <v>4.0</v>
      </c>
      <c r="O64" s="14" t="s">
        <v>9</v>
      </c>
      <c r="P64" s="5" t="s">
        <v>263</v>
      </c>
      <c r="Q64" s="10" t="s">
        <v>345</v>
      </c>
      <c r="R64" s="14"/>
      <c r="S64" s="9" t="s">
        <v>264</v>
      </c>
      <c r="T64" s="9"/>
      <c r="U64" s="9"/>
      <c r="V64" s="100" t="s">
        <v>180</v>
      </c>
      <c r="W64" s="101">
        <v>0.0</v>
      </c>
      <c r="X64" s="100"/>
      <c r="Y64" s="100" t="s">
        <v>50</v>
      </c>
      <c r="Z64" s="101">
        <v>3.0</v>
      </c>
    </row>
    <row r="65" ht="12.75" customHeight="1">
      <c r="A65" s="9"/>
      <c r="B65" s="10" t="s">
        <v>345</v>
      </c>
      <c r="C65" s="14"/>
      <c r="D65" s="9" t="s">
        <v>265</v>
      </c>
      <c r="E65" s="10" t="s">
        <v>345</v>
      </c>
      <c r="F65" s="14"/>
      <c r="G65" s="12" t="s">
        <v>266</v>
      </c>
      <c r="H65" s="10" t="s">
        <v>345</v>
      </c>
      <c r="I65" s="14"/>
      <c r="J65" s="9" t="s">
        <v>267</v>
      </c>
      <c r="K65" s="10" t="s">
        <v>345</v>
      </c>
      <c r="L65" s="14"/>
      <c r="M65" s="9" t="s">
        <v>268</v>
      </c>
      <c r="N65" s="10" t="s">
        <v>345</v>
      </c>
      <c r="O65" s="14"/>
      <c r="P65" s="9" t="s">
        <v>269</v>
      </c>
      <c r="Q65" s="10">
        <v>4.0</v>
      </c>
      <c r="R65" s="14" t="s">
        <v>9</v>
      </c>
      <c r="S65" s="5" t="s">
        <v>270</v>
      </c>
      <c r="T65" s="9"/>
      <c r="U65" s="9"/>
      <c r="V65" s="100" t="s">
        <v>198</v>
      </c>
      <c r="W65" s="101">
        <v>0.0</v>
      </c>
      <c r="X65" s="100"/>
      <c r="Y65" s="100" t="s">
        <v>57</v>
      </c>
      <c r="Z65" s="101">
        <v>3.0</v>
      </c>
    </row>
    <row r="66" ht="12.75" customHeight="1">
      <c r="A66" s="9"/>
      <c r="B66" s="2"/>
      <c r="C66" s="3"/>
      <c r="D66" s="9"/>
      <c r="E66" s="10"/>
      <c r="F66" s="3"/>
      <c r="G66" s="9"/>
      <c r="H66" s="10"/>
      <c r="I66" s="3"/>
      <c r="J66" s="9"/>
      <c r="K66" s="10"/>
      <c r="L66" s="3"/>
      <c r="M66" s="9"/>
      <c r="N66" s="10"/>
      <c r="O66" s="3"/>
      <c r="P66" s="9"/>
      <c r="Q66" s="10"/>
      <c r="R66" s="26"/>
      <c r="S66" s="9"/>
      <c r="T66" s="9"/>
      <c r="U66" s="9"/>
      <c r="V66" s="100" t="s">
        <v>216</v>
      </c>
      <c r="W66" s="101">
        <v>0.0</v>
      </c>
      <c r="X66" s="100"/>
      <c r="Y66" s="100" t="s">
        <v>69</v>
      </c>
      <c r="Z66" s="101">
        <v>0.0</v>
      </c>
    </row>
    <row r="67" ht="12.75" customHeight="1">
      <c r="A67" s="19"/>
      <c r="B67" s="20"/>
      <c r="C67" s="21"/>
      <c r="D67" s="22">
        <v>37.0</v>
      </c>
      <c r="E67" s="20"/>
      <c r="F67" s="21"/>
      <c r="G67" s="22">
        <v>59.0</v>
      </c>
      <c r="H67" s="20"/>
      <c r="I67" s="21"/>
      <c r="J67" s="22">
        <v>24.0</v>
      </c>
      <c r="K67" s="20"/>
      <c r="L67" s="21"/>
      <c r="M67" s="22">
        <v>54.0</v>
      </c>
      <c r="N67" s="20"/>
      <c r="O67" s="21"/>
      <c r="P67" s="22">
        <v>54.0</v>
      </c>
      <c r="Q67" s="20"/>
      <c r="R67" s="22"/>
      <c r="S67" s="22">
        <v>58.0</v>
      </c>
      <c r="T67" s="19"/>
      <c r="U67" s="19"/>
      <c r="V67" s="100" t="s">
        <v>222</v>
      </c>
      <c r="W67" s="101">
        <v>0.0</v>
      </c>
      <c r="X67" s="100"/>
      <c r="Y67" s="100" t="s">
        <v>80</v>
      </c>
      <c r="Z67" s="101">
        <v>2.0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29"/>
      <c r="S68" s="9"/>
      <c r="T68" s="9"/>
      <c r="U68" s="9"/>
      <c r="V68" s="100" t="s">
        <v>240</v>
      </c>
      <c r="W68" s="101">
        <v>4.0</v>
      </c>
      <c r="X68" s="100"/>
      <c r="Y68" s="100" t="s">
        <v>102</v>
      </c>
      <c r="Z68" s="101">
        <v>6.0</v>
      </c>
    </row>
    <row r="69" ht="12.75" customHeight="1">
      <c r="A69" s="9" t="s">
        <v>135</v>
      </c>
      <c r="B69" s="2"/>
      <c r="C69" s="3"/>
      <c r="D69" s="9" t="s">
        <v>271</v>
      </c>
      <c r="E69" s="2"/>
      <c r="F69" s="6"/>
      <c r="G69" s="9" t="s">
        <v>272</v>
      </c>
      <c r="H69" s="2"/>
      <c r="I69" s="6"/>
      <c r="J69" s="9" t="s">
        <v>273</v>
      </c>
      <c r="K69" s="2"/>
      <c r="L69" s="6"/>
      <c r="M69" s="9" t="s">
        <v>274</v>
      </c>
      <c r="N69" s="2"/>
      <c r="O69" s="6"/>
      <c r="P69" s="9" t="s">
        <v>275</v>
      </c>
      <c r="Q69" s="2"/>
      <c r="R69" s="29"/>
      <c r="S69" s="9" t="s">
        <v>276</v>
      </c>
      <c r="T69" s="9"/>
      <c r="U69" s="9"/>
      <c r="V69" s="100" t="s">
        <v>252</v>
      </c>
      <c r="W69" s="101">
        <v>8.0</v>
      </c>
      <c r="X69" s="100"/>
      <c r="Y69" s="100" t="s">
        <v>115</v>
      </c>
      <c r="Z69" s="101">
        <v>3.0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277</v>
      </c>
      <c r="K70" s="2"/>
      <c r="L70" s="6"/>
      <c r="M70" s="9" t="s">
        <v>95</v>
      </c>
      <c r="N70" s="2"/>
      <c r="O70" s="6"/>
      <c r="P70" s="9"/>
      <c r="Q70" s="2"/>
      <c r="R70" s="29"/>
      <c r="S70" s="9"/>
      <c r="T70" s="9"/>
      <c r="U70" s="9"/>
      <c r="V70" s="100" t="s">
        <v>270</v>
      </c>
      <c r="W70" s="101">
        <v>4.0</v>
      </c>
      <c r="X70" s="100"/>
      <c r="Y70" s="100" t="s">
        <v>134</v>
      </c>
      <c r="Z70" s="101">
        <v>7.0</v>
      </c>
    </row>
    <row r="71" ht="12.75" customHeight="1">
      <c r="A71" s="9"/>
      <c r="B71" s="2"/>
      <c r="C71" s="3"/>
      <c r="D71" s="9"/>
      <c r="E71" s="2"/>
      <c r="F71" s="6"/>
      <c r="G71" s="28"/>
      <c r="H71" s="2"/>
      <c r="I71" s="6"/>
      <c r="J71" s="28"/>
      <c r="K71" s="2"/>
      <c r="L71" s="6"/>
      <c r="M71" s="28"/>
      <c r="N71" s="2"/>
      <c r="O71" s="6"/>
      <c r="P71" s="28"/>
      <c r="Q71" s="2"/>
      <c r="R71" s="29"/>
      <c r="S71" s="28"/>
      <c r="T71" s="9"/>
      <c r="U71" s="9"/>
      <c r="V71" s="100"/>
      <c r="W71" s="101">
        <v>58.0</v>
      </c>
      <c r="X71" s="100"/>
      <c r="Y71" s="100"/>
      <c r="Z71" s="101">
        <v>44.0</v>
      </c>
    </row>
    <row r="72" ht="12.75" customHeight="1">
      <c r="A72" s="9" t="s">
        <v>143</v>
      </c>
      <c r="B72" s="2"/>
      <c r="C72" s="3"/>
      <c r="D72" s="12"/>
      <c r="F72" s="29"/>
      <c r="G72" s="25"/>
      <c r="H72" s="25"/>
      <c r="J72" s="25"/>
      <c r="K72" s="26"/>
      <c r="M72" s="25"/>
      <c r="N72" s="26"/>
      <c r="P72" s="25"/>
      <c r="Q72" s="25"/>
      <c r="S72" s="25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29"/>
      <c r="G73" s="27"/>
      <c r="H73" s="25"/>
      <c r="J73" s="27"/>
      <c r="K73" s="26"/>
      <c r="M73" s="27"/>
      <c r="N73" s="28"/>
      <c r="P73" s="27"/>
      <c r="Q73" s="25"/>
      <c r="S73" s="25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29"/>
      <c r="G74" s="25"/>
      <c r="H74" s="25"/>
      <c r="J74" s="27"/>
      <c r="K74" s="26"/>
      <c r="M74" s="27"/>
      <c r="N74" s="26"/>
      <c r="P74" s="27"/>
      <c r="Q74" s="25"/>
      <c r="S74" s="25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3.0"/>
    <col customWidth="1" min="23" max="23" width="4.0"/>
    <col customWidth="1" min="24" max="24" width="3.0"/>
    <col customWidth="1" min="25" max="25" width="26.14"/>
    <col customWidth="1" min="26" max="26" width="3.57"/>
  </cols>
  <sheetData>
    <row r="1" ht="12.75" customHeight="1">
      <c r="A1" s="104"/>
      <c r="B1" s="104"/>
      <c r="C1" s="104"/>
      <c r="D1" s="105" t="s">
        <v>0</v>
      </c>
      <c r="E1" s="104"/>
      <c r="F1" s="104"/>
      <c r="G1" s="105" t="s">
        <v>1</v>
      </c>
      <c r="H1" s="104"/>
      <c r="I1" s="104"/>
      <c r="J1" s="105" t="s">
        <v>2</v>
      </c>
      <c r="K1" s="104"/>
      <c r="L1" s="104"/>
      <c r="M1" s="105" t="s">
        <v>3</v>
      </c>
      <c r="N1" s="104"/>
      <c r="O1" s="104"/>
      <c r="P1" s="105" t="s">
        <v>4</v>
      </c>
      <c r="Q1" s="104"/>
      <c r="R1" s="104"/>
      <c r="S1" s="105" t="s">
        <v>5</v>
      </c>
      <c r="T1" s="104"/>
      <c r="U1" s="104"/>
      <c r="V1" s="106" t="s">
        <v>327</v>
      </c>
      <c r="W1" s="106"/>
      <c r="X1" s="106"/>
      <c r="Y1" s="106" t="s">
        <v>302</v>
      </c>
      <c r="Z1" s="107"/>
    </row>
    <row r="2" ht="12.75" customHeight="1">
      <c r="A2" s="104" t="s">
        <v>6</v>
      </c>
      <c r="B2" s="104" t="s">
        <v>345</v>
      </c>
      <c r="C2" s="108"/>
      <c r="D2" s="104" t="s">
        <v>7</v>
      </c>
      <c r="E2" s="104" t="s">
        <v>345</v>
      </c>
      <c r="F2" s="108"/>
      <c r="G2" s="108" t="s">
        <v>8</v>
      </c>
      <c r="H2" s="104" t="s">
        <v>345</v>
      </c>
      <c r="I2" s="108"/>
      <c r="J2" s="104" t="s">
        <v>10</v>
      </c>
      <c r="K2" s="109">
        <v>25.0</v>
      </c>
      <c r="L2" s="110" t="s">
        <v>9</v>
      </c>
      <c r="M2" s="105" t="s">
        <v>11</v>
      </c>
      <c r="N2" s="109">
        <v>20.0</v>
      </c>
      <c r="O2" s="110" t="s">
        <v>9</v>
      </c>
      <c r="P2" s="111" t="s">
        <v>12</v>
      </c>
      <c r="Q2" s="109">
        <v>8.0</v>
      </c>
      <c r="R2" s="110" t="s">
        <v>9</v>
      </c>
      <c r="S2" s="105" t="s">
        <v>13</v>
      </c>
      <c r="T2" s="104"/>
      <c r="U2" s="104"/>
      <c r="V2" s="112" t="s">
        <v>154</v>
      </c>
      <c r="W2" s="112">
        <v>21.0</v>
      </c>
      <c r="X2" s="112"/>
      <c r="Y2" s="112" t="s">
        <v>14</v>
      </c>
      <c r="Z2" s="112">
        <v>5.0</v>
      </c>
    </row>
    <row r="3" ht="12.75" customHeight="1">
      <c r="A3" s="104"/>
      <c r="B3" s="109">
        <v>5.0</v>
      </c>
      <c r="C3" s="110" t="s">
        <v>9</v>
      </c>
      <c r="D3" s="111" t="s">
        <v>14</v>
      </c>
      <c r="E3" s="109">
        <v>11.0</v>
      </c>
      <c r="F3" s="110" t="s">
        <v>9</v>
      </c>
      <c r="G3" s="105" t="s">
        <v>15</v>
      </c>
      <c r="H3" s="104" t="s">
        <v>345</v>
      </c>
      <c r="I3" s="108"/>
      <c r="J3" s="104" t="s">
        <v>16</v>
      </c>
      <c r="K3" s="104" t="s">
        <v>345</v>
      </c>
      <c r="L3" s="108"/>
      <c r="M3" s="104" t="s">
        <v>17</v>
      </c>
      <c r="N3" s="104" t="s">
        <v>345</v>
      </c>
      <c r="O3" s="108"/>
      <c r="P3" s="104" t="s">
        <v>166</v>
      </c>
      <c r="Q3" s="104" t="s">
        <v>345</v>
      </c>
      <c r="R3" s="108"/>
      <c r="S3" s="104" t="s">
        <v>346</v>
      </c>
      <c r="T3" s="104"/>
      <c r="U3" s="104"/>
      <c r="V3" s="112" t="s">
        <v>172</v>
      </c>
      <c r="W3" s="112">
        <v>21.0</v>
      </c>
      <c r="X3" s="112"/>
      <c r="Y3" s="112" t="s">
        <v>27</v>
      </c>
      <c r="Z3" s="112">
        <v>0.0</v>
      </c>
    </row>
    <row r="4" ht="12.75" customHeight="1">
      <c r="A4" s="104"/>
      <c r="B4" s="104" t="s">
        <v>345</v>
      </c>
      <c r="C4" s="108"/>
      <c r="D4" s="108" t="s">
        <v>20</v>
      </c>
      <c r="E4" s="104" t="s">
        <v>345</v>
      </c>
      <c r="F4" s="108"/>
      <c r="G4" s="108" t="s">
        <v>165</v>
      </c>
      <c r="H4" s="109">
        <v>9.0</v>
      </c>
      <c r="I4" s="110" t="s">
        <v>9</v>
      </c>
      <c r="J4" s="105" t="s">
        <v>22</v>
      </c>
      <c r="K4" s="104" t="s">
        <v>345</v>
      </c>
      <c r="L4" s="108"/>
      <c r="M4" s="108" t="s">
        <v>23</v>
      </c>
      <c r="N4" s="104" t="s">
        <v>345</v>
      </c>
      <c r="O4" s="108"/>
      <c r="P4" s="104" t="s">
        <v>18</v>
      </c>
      <c r="Q4" s="104" t="s">
        <v>345</v>
      </c>
      <c r="R4" s="108"/>
      <c r="S4" s="108" t="s">
        <v>347</v>
      </c>
      <c r="T4" s="104"/>
      <c r="U4" s="104"/>
      <c r="V4" s="112" t="s">
        <v>178</v>
      </c>
      <c r="W4" s="112">
        <v>5.0</v>
      </c>
      <c r="X4" s="112"/>
      <c r="Y4" s="112" t="s">
        <v>39</v>
      </c>
      <c r="Z4" s="112">
        <v>15.0</v>
      </c>
    </row>
    <row r="5" ht="12.75" customHeight="1">
      <c r="A5" s="104"/>
      <c r="B5" s="104"/>
      <c r="C5" s="104"/>
      <c r="D5" s="104"/>
      <c r="E5" s="104"/>
      <c r="F5" s="104"/>
      <c r="G5" s="104"/>
      <c r="H5" s="104" t="s">
        <v>345</v>
      </c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12" t="s">
        <v>208</v>
      </c>
      <c r="W5" s="112">
        <v>6.0</v>
      </c>
      <c r="X5" s="112"/>
      <c r="Y5" s="112" t="s">
        <v>52</v>
      </c>
      <c r="Z5" s="112">
        <v>2.0</v>
      </c>
    </row>
    <row r="6" ht="12.75" customHeight="1">
      <c r="A6" s="104" t="s">
        <v>26</v>
      </c>
      <c r="B6" s="109">
        <v>0.0</v>
      </c>
      <c r="C6" s="110" t="s">
        <v>9</v>
      </c>
      <c r="D6" s="111" t="s">
        <v>27</v>
      </c>
      <c r="E6" s="109">
        <v>12.0</v>
      </c>
      <c r="F6" s="110" t="s">
        <v>9</v>
      </c>
      <c r="G6" s="111" t="s">
        <v>28</v>
      </c>
      <c r="H6" s="109">
        <v>8.0</v>
      </c>
      <c r="I6" s="110" t="s">
        <v>9</v>
      </c>
      <c r="J6" s="105" t="s">
        <v>29</v>
      </c>
      <c r="K6" s="109">
        <v>0.0</v>
      </c>
      <c r="L6" s="110" t="s">
        <v>9</v>
      </c>
      <c r="M6" s="105" t="s">
        <v>30</v>
      </c>
      <c r="N6" s="109">
        <v>9.0</v>
      </c>
      <c r="O6" s="110" t="s">
        <v>9</v>
      </c>
      <c r="P6" s="111" t="s">
        <v>31</v>
      </c>
      <c r="Q6" s="109">
        <v>0.0</v>
      </c>
      <c r="R6" s="110" t="s">
        <v>9</v>
      </c>
      <c r="S6" s="105" t="s">
        <v>32</v>
      </c>
      <c r="T6" s="104"/>
      <c r="U6" s="104"/>
      <c r="V6" s="112" t="s">
        <v>349</v>
      </c>
      <c r="W6" s="112">
        <v>6.0</v>
      </c>
      <c r="X6" s="112"/>
      <c r="Y6" s="112" t="s">
        <v>58</v>
      </c>
      <c r="Z6" s="112">
        <v>3.0</v>
      </c>
    </row>
    <row r="7" ht="12.75" customHeight="1">
      <c r="A7" s="104"/>
      <c r="B7" s="104" t="s">
        <v>345</v>
      </c>
      <c r="C7" s="108"/>
      <c r="D7" s="108" t="s">
        <v>33</v>
      </c>
      <c r="E7" s="109">
        <v>0.0</v>
      </c>
      <c r="F7" s="110" t="s">
        <v>9</v>
      </c>
      <c r="G7" s="105" t="s">
        <v>34</v>
      </c>
      <c r="H7" s="109">
        <v>0.0</v>
      </c>
      <c r="I7" s="110" t="s">
        <v>9</v>
      </c>
      <c r="J7" s="105" t="s">
        <v>35</v>
      </c>
      <c r="K7" s="109">
        <v>0.0</v>
      </c>
      <c r="L7" s="110" t="s">
        <v>9</v>
      </c>
      <c r="M7" s="111" t="s">
        <v>36</v>
      </c>
      <c r="N7" s="109">
        <v>0.0</v>
      </c>
      <c r="O7" s="110" t="s">
        <v>9</v>
      </c>
      <c r="P7" s="111" t="s">
        <v>348</v>
      </c>
      <c r="Q7" s="104" t="s">
        <v>345</v>
      </c>
      <c r="R7" s="108"/>
      <c r="S7" s="108" t="s">
        <v>38</v>
      </c>
      <c r="T7" s="104"/>
      <c r="U7" s="104"/>
      <c r="V7" s="112" t="s">
        <v>226</v>
      </c>
      <c r="W7" s="112">
        <v>0.0</v>
      </c>
      <c r="X7" s="112"/>
      <c r="Y7" s="112" t="s">
        <v>93</v>
      </c>
      <c r="Z7" s="112">
        <v>2.0</v>
      </c>
    </row>
    <row r="8" ht="12.75" customHeight="1">
      <c r="A8" s="104"/>
      <c r="B8" s="109">
        <v>15.0</v>
      </c>
      <c r="C8" s="110" t="s">
        <v>9</v>
      </c>
      <c r="D8" s="105" t="s">
        <v>39</v>
      </c>
      <c r="E8" s="104" t="s">
        <v>345</v>
      </c>
      <c r="F8" s="108"/>
      <c r="G8" s="104" t="s">
        <v>351</v>
      </c>
      <c r="H8" s="104" t="s">
        <v>345</v>
      </c>
      <c r="I8" s="108"/>
      <c r="J8" s="104" t="s">
        <v>352</v>
      </c>
      <c r="K8" s="104" t="s">
        <v>345</v>
      </c>
      <c r="L8" s="108"/>
      <c r="M8" s="108" t="s">
        <v>42</v>
      </c>
      <c r="N8" s="104" t="s">
        <v>345</v>
      </c>
      <c r="O8" s="108"/>
      <c r="P8" s="108" t="s">
        <v>43</v>
      </c>
      <c r="Q8" s="104" t="s">
        <v>345</v>
      </c>
      <c r="R8" s="108"/>
      <c r="S8" s="113" t="s">
        <v>44</v>
      </c>
      <c r="T8" s="104"/>
      <c r="U8" s="104"/>
      <c r="V8" s="112" t="s">
        <v>238</v>
      </c>
      <c r="W8" s="112">
        <v>2.0</v>
      </c>
      <c r="X8" s="112"/>
      <c r="Y8" s="112" t="s">
        <v>97</v>
      </c>
      <c r="Z8" s="112">
        <v>3.0</v>
      </c>
    </row>
    <row r="9" ht="12.75" customHeight="1">
      <c r="A9" s="104"/>
      <c r="B9" s="104" t="s">
        <v>345</v>
      </c>
      <c r="C9" s="108"/>
      <c r="D9" s="108" t="s">
        <v>45</v>
      </c>
      <c r="E9" s="104" t="s">
        <v>345</v>
      </c>
      <c r="F9" s="108"/>
      <c r="G9" s="108" t="s">
        <v>46</v>
      </c>
      <c r="H9" s="104" t="s">
        <v>345</v>
      </c>
      <c r="I9" s="108"/>
      <c r="J9" s="108" t="s">
        <v>41</v>
      </c>
      <c r="K9" s="104" t="s">
        <v>345</v>
      </c>
      <c r="L9" s="108"/>
      <c r="M9" s="108" t="s">
        <v>48</v>
      </c>
      <c r="N9" s="104" t="s">
        <v>345</v>
      </c>
      <c r="O9" s="108"/>
      <c r="P9" s="108" t="s">
        <v>353</v>
      </c>
      <c r="Q9" s="109">
        <v>0.0</v>
      </c>
      <c r="R9" s="110" t="s">
        <v>9</v>
      </c>
      <c r="S9" s="105" t="s">
        <v>50</v>
      </c>
      <c r="T9" s="104"/>
      <c r="U9" s="104"/>
      <c r="V9" s="112" t="s">
        <v>250</v>
      </c>
      <c r="W9" s="112">
        <v>17.0</v>
      </c>
      <c r="X9" s="112"/>
      <c r="Y9" s="112" t="s">
        <v>116</v>
      </c>
      <c r="Z9" s="112">
        <v>9.0</v>
      </c>
    </row>
    <row r="10" ht="12.75" customHeight="1">
      <c r="A10" s="104"/>
      <c r="B10" s="104"/>
      <c r="C10" s="104"/>
      <c r="D10" s="104"/>
      <c r="E10" s="104"/>
      <c r="F10" s="104"/>
      <c r="G10" s="104"/>
      <c r="H10" s="104" t="s">
        <v>345</v>
      </c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12" t="s">
        <v>262</v>
      </c>
      <c r="W10" s="112">
        <v>4.0</v>
      </c>
      <c r="X10" s="112"/>
      <c r="Y10" s="112" t="s">
        <v>129</v>
      </c>
      <c r="Z10" s="112">
        <v>6.0</v>
      </c>
    </row>
    <row r="11" ht="12.75" customHeight="1">
      <c r="A11" s="104" t="s">
        <v>51</v>
      </c>
      <c r="B11" s="109">
        <v>2.0</v>
      </c>
      <c r="C11" s="110" t="s">
        <v>9</v>
      </c>
      <c r="D11" s="111" t="s">
        <v>52</v>
      </c>
      <c r="E11" s="104" t="s">
        <v>345</v>
      </c>
      <c r="F11" s="108"/>
      <c r="G11" s="104" t="s">
        <v>53</v>
      </c>
      <c r="H11" s="109">
        <v>0.0</v>
      </c>
      <c r="I11" s="110" t="s">
        <v>9</v>
      </c>
      <c r="J11" s="111" t="s">
        <v>54</v>
      </c>
      <c r="K11" s="104" t="s">
        <v>345</v>
      </c>
      <c r="L11" s="108"/>
      <c r="M11" s="108" t="s">
        <v>55</v>
      </c>
      <c r="N11" s="109">
        <v>8.0</v>
      </c>
      <c r="O11" s="110" t="s">
        <v>9</v>
      </c>
      <c r="P11" s="111" t="s">
        <v>56</v>
      </c>
      <c r="Q11" s="109">
        <v>8.0</v>
      </c>
      <c r="R11" s="110" t="s">
        <v>9</v>
      </c>
      <c r="S11" s="105" t="s">
        <v>57</v>
      </c>
      <c r="T11" s="104"/>
      <c r="U11" s="104"/>
      <c r="V11" s="112"/>
      <c r="W11" s="112">
        <v>82.0</v>
      </c>
      <c r="X11" s="112"/>
      <c r="Y11" s="112"/>
      <c r="Z11" s="112">
        <v>45.0</v>
      </c>
    </row>
    <row r="12" ht="12.75" customHeight="1">
      <c r="A12" s="104"/>
      <c r="B12" s="109">
        <v>3.0</v>
      </c>
      <c r="C12" s="110" t="s">
        <v>9</v>
      </c>
      <c r="D12" s="111" t="s">
        <v>58</v>
      </c>
      <c r="E12" s="109">
        <v>0.0</v>
      </c>
      <c r="F12" s="110" t="s">
        <v>9</v>
      </c>
      <c r="G12" s="111" t="s">
        <v>59</v>
      </c>
      <c r="H12" s="104" t="s">
        <v>345</v>
      </c>
      <c r="I12" s="108"/>
      <c r="J12" s="108" t="s">
        <v>60</v>
      </c>
      <c r="K12" s="104" t="s">
        <v>345</v>
      </c>
      <c r="L12" s="108"/>
      <c r="M12" s="104" t="s">
        <v>61</v>
      </c>
      <c r="N12" s="104" t="s">
        <v>345</v>
      </c>
      <c r="O12" s="108"/>
      <c r="P12" s="104" t="s">
        <v>62</v>
      </c>
      <c r="Q12" s="104" t="s">
        <v>345</v>
      </c>
      <c r="R12" s="108"/>
      <c r="S12" s="104" t="s">
        <v>63</v>
      </c>
      <c r="T12" s="104"/>
      <c r="U12" s="104"/>
      <c r="V12" s="112"/>
      <c r="W12" s="112"/>
      <c r="X12" s="112"/>
      <c r="Y12" s="112"/>
      <c r="Z12" s="112"/>
    </row>
    <row r="13" ht="12.75" customHeight="1">
      <c r="A13" s="104"/>
      <c r="B13" s="104" t="s">
        <v>345</v>
      </c>
      <c r="C13" s="108"/>
      <c r="D13" s="108" t="s">
        <v>64</v>
      </c>
      <c r="E13" s="104" t="s">
        <v>345</v>
      </c>
      <c r="F13" s="108"/>
      <c r="G13" s="108" t="s">
        <v>354</v>
      </c>
      <c r="H13" s="109">
        <v>9.0</v>
      </c>
      <c r="I13" s="110" t="s">
        <v>9</v>
      </c>
      <c r="J13" s="105" t="s">
        <v>66</v>
      </c>
      <c r="K13" s="109">
        <v>0.0</v>
      </c>
      <c r="L13" s="110" t="s">
        <v>9</v>
      </c>
      <c r="M13" s="111" t="s">
        <v>67</v>
      </c>
      <c r="N13" s="104" t="s">
        <v>345</v>
      </c>
      <c r="O13" s="108"/>
      <c r="P13" s="104" t="s">
        <v>355</v>
      </c>
      <c r="Q13" s="104" t="s">
        <v>345</v>
      </c>
      <c r="R13" s="108"/>
      <c r="S13" s="114" t="s">
        <v>69</v>
      </c>
      <c r="T13" s="104"/>
      <c r="U13" s="104"/>
      <c r="V13" s="107" t="s">
        <v>322</v>
      </c>
      <c r="W13" s="107"/>
      <c r="X13" s="107"/>
      <c r="Y13" s="107" t="s">
        <v>321</v>
      </c>
      <c r="Z13" s="107"/>
    </row>
    <row r="14" ht="12.75" customHeight="1">
      <c r="A14" s="104"/>
      <c r="B14" s="104" t="s">
        <v>345</v>
      </c>
      <c r="C14" s="108"/>
      <c r="D14" s="108" t="s">
        <v>356</v>
      </c>
      <c r="E14" s="109">
        <v>0.0</v>
      </c>
      <c r="F14" s="110" t="s">
        <v>9</v>
      </c>
      <c r="G14" s="105" t="s">
        <v>71</v>
      </c>
      <c r="H14" s="104" t="s">
        <v>345</v>
      </c>
      <c r="I14" s="108"/>
      <c r="J14" s="108" t="s">
        <v>72</v>
      </c>
      <c r="K14" s="109">
        <v>2.0</v>
      </c>
      <c r="L14" s="110" t="s">
        <v>9</v>
      </c>
      <c r="M14" s="105" t="s">
        <v>73</v>
      </c>
      <c r="N14" s="109">
        <v>6.0</v>
      </c>
      <c r="O14" s="110" t="s">
        <v>9</v>
      </c>
      <c r="P14" s="105" t="s">
        <v>350</v>
      </c>
      <c r="Q14" s="109">
        <v>0.0</v>
      </c>
      <c r="R14" s="110" t="s">
        <v>9</v>
      </c>
      <c r="S14" s="105" t="s">
        <v>75</v>
      </c>
      <c r="T14" s="104"/>
      <c r="U14" s="104"/>
      <c r="V14" s="112" t="s">
        <v>12</v>
      </c>
      <c r="W14" s="112">
        <v>20.0</v>
      </c>
      <c r="X14" s="112"/>
      <c r="Y14" s="112" t="s">
        <v>11</v>
      </c>
      <c r="Z14" s="112">
        <v>25.0</v>
      </c>
    </row>
    <row r="15" ht="12.75" customHeight="1">
      <c r="A15" s="104"/>
      <c r="B15" s="104"/>
      <c r="C15" s="104"/>
      <c r="D15" s="104"/>
      <c r="E15" s="104"/>
      <c r="F15" s="104"/>
      <c r="G15" s="104"/>
      <c r="H15" s="104" t="s">
        <v>345</v>
      </c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12" t="s">
        <v>31</v>
      </c>
      <c r="W15" s="112">
        <v>9.0</v>
      </c>
      <c r="X15" s="112"/>
      <c r="Y15" s="112" t="s">
        <v>30</v>
      </c>
      <c r="Z15" s="112">
        <v>0.0</v>
      </c>
    </row>
    <row r="16" ht="12.75" customHeight="1">
      <c r="A16" s="104" t="s">
        <v>76</v>
      </c>
      <c r="B16" s="104" t="s">
        <v>345</v>
      </c>
      <c r="C16" s="108"/>
      <c r="D16" s="104" t="s">
        <v>357</v>
      </c>
      <c r="E16" s="109">
        <v>0.0</v>
      </c>
      <c r="F16" s="110" t="s">
        <v>9</v>
      </c>
      <c r="G16" s="105" t="s">
        <v>78</v>
      </c>
      <c r="H16" s="104" t="s">
        <v>345</v>
      </c>
      <c r="I16" s="108"/>
      <c r="J16" s="104" t="s">
        <v>79</v>
      </c>
      <c r="K16" s="109">
        <v>0.0</v>
      </c>
      <c r="L16" s="110" t="s">
        <v>9</v>
      </c>
      <c r="M16" s="111" t="s">
        <v>86</v>
      </c>
      <c r="N16" s="104" t="s">
        <v>345</v>
      </c>
      <c r="O16" s="108"/>
      <c r="P16" s="108" t="s">
        <v>81</v>
      </c>
      <c r="Q16" s="109">
        <v>0.0</v>
      </c>
      <c r="R16" s="110" t="s">
        <v>9</v>
      </c>
      <c r="S16" s="111" t="s">
        <v>80</v>
      </c>
      <c r="T16" s="104"/>
      <c r="U16" s="104"/>
      <c r="V16" s="112" t="s">
        <v>348</v>
      </c>
      <c r="W16" s="112">
        <v>0.0</v>
      </c>
      <c r="X16" s="112"/>
      <c r="Y16" s="112" t="s">
        <v>36</v>
      </c>
      <c r="Z16" s="112">
        <v>0.0</v>
      </c>
    </row>
    <row r="17" ht="12.75" customHeight="1">
      <c r="A17" s="104"/>
      <c r="B17" s="104" t="s">
        <v>345</v>
      </c>
      <c r="C17" s="108"/>
      <c r="D17" s="108" t="s">
        <v>77</v>
      </c>
      <c r="E17" s="104" t="s">
        <v>345</v>
      </c>
      <c r="F17" s="108"/>
      <c r="G17" s="104" t="s">
        <v>358</v>
      </c>
      <c r="H17" s="104" t="s">
        <v>345</v>
      </c>
      <c r="I17" s="108"/>
      <c r="J17" s="104" t="s">
        <v>85</v>
      </c>
      <c r="K17" s="104" t="s">
        <v>345</v>
      </c>
      <c r="L17" s="108"/>
      <c r="M17" s="108" t="s">
        <v>88</v>
      </c>
      <c r="N17" s="104" t="s">
        <v>345</v>
      </c>
      <c r="O17" s="108"/>
      <c r="P17" s="104" t="s">
        <v>90</v>
      </c>
      <c r="Q17" s="104" t="s">
        <v>345</v>
      </c>
      <c r="R17" s="108"/>
      <c r="S17" s="108" t="s">
        <v>82</v>
      </c>
      <c r="T17" s="104"/>
      <c r="U17" s="104"/>
      <c r="V17" s="112" t="s">
        <v>56</v>
      </c>
      <c r="W17" s="112">
        <v>8.0</v>
      </c>
      <c r="X17" s="112"/>
      <c r="Y17" s="112" t="s">
        <v>67</v>
      </c>
      <c r="Z17" s="112">
        <v>0.0</v>
      </c>
    </row>
    <row r="18" ht="12.75" customHeight="1">
      <c r="A18" s="104"/>
      <c r="B18" s="109">
        <v>2.0</v>
      </c>
      <c r="C18" s="110" t="s">
        <v>9</v>
      </c>
      <c r="D18" s="105" t="s">
        <v>93</v>
      </c>
      <c r="E18" s="104" t="s">
        <v>345</v>
      </c>
      <c r="F18" s="108"/>
      <c r="G18" s="108" t="s">
        <v>359</v>
      </c>
      <c r="H18" s="109">
        <v>0.0</v>
      </c>
      <c r="I18" s="110" t="s">
        <v>9</v>
      </c>
      <c r="J18" s="105" t="s">
        <v>91</v>
      </c>
      <c r="K18" s="104" t="s">
        <v>345</v>
      </c>
      <c r="L18" s="108"/>
      <c r="M18" s="104" t="s">
        <v>92</v>
      </c>
      <c r="N18" s="109">
        <v>2.0</v>
      </c>
      <c r="O18" s="110" t="s">
        <v>9</v>
      </c>
      <c r="P18" s="105" t="s">
        <v>87</v>
      </c>
      <c r="Q18" s="104" t="s">
        <v>345</v>
      </c>
      <c r="R18" s="108"/>
      <c r="S18" s="108" t="s">
        <v>94</v>
      </c>
      <c r="T18" s="104"/>
      <c r="U18" s="104"/>
      <c r="V18" s="112" t="s">
        <v>350</v>
      </c>
      <c r="W18" s="112">
        <v>6.0</v>
      </c>
      <c r="X18" s="112"/>
      <c r="Y18" s="112" t="s">
        <v>73</v>
      </c>
      <c r="Z18" s="112">
        <v>2.0</v>
      </c>
    </row>
    <row r="19" ht="12.75" customHeight="1">
      <c r="A19" s="104"/>
      <c r="B19" s="104"/>
      <c r="C19" s="104"/>
      <c r="D19" s="104"/>
      <c r="E19" s="104"/>
      <c r="F19" s="104"/>
      <c r="G19" s="104"/>
      <c r="H19" s="104" t="s">
        <v>345</v>
      </c>
      <c r="I19" s="104"/>
      <c r="J19" s="104" t="s">
        <v>95</v>
      </c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12" t="s">
        <v>87</v>
      </c>
      <c r="W19" s="112">
        <v>2.0</v>
      </c>
      <c r="X19" s="112"/>
      <c r="Y19" s="112" t="s">
        <v>86</v>
      </c>
      <c r="Z19" s="112">
        <v>0.0</v>
      </c>
    </row>
    <row r="20" ht="12.75" customHeight="1">
      <c r="A20" s="104" t="s">
        <v>96</v>
      </c>
      <c r="B20" s="109">
        <v>3.0</v>
      </c>
      <c r="C20" s="110" t="s">
        <v>9</v>
      </c>
      <c r="D20" s="105" t="s">
        <v>97</v>
      </c>
      <c r="E20" s="109">
        <v>6.0</v>
      </c>
      <c r="F20" s="110" t="s">
        <v>9</v>
      </c>
      <c r="G20" s="105" t="s">
        <v>98</v>
      </c>
      <c r="H20" s="109">
        <v>8.0</v>
      </c>
      <c r="I20" s="110" t="s">
        <v>9</v>
      </c>
      <c r="J20" s="111" t="s">
        <v>99</v>
      </c>
      <c r="K20" s="109">
        <v>3.0</v>
      </c>
      <c r="L20" s="110" t="s">
        <v>9</v>
      </c>
      <c r="M20" s="105" t="s">
        <v>100</v>
      </c>
      <c r="N20" s="104" t="s">
        <v>345</v>
      </c>
      <c r="O20" s="108"/>
      <c r="P20" s="104" t="s">
        <v>360</v>
      </c>
      <c r="Q20" s="104" t="s">
        <v>345</v>
      </c>
      <c r="R20" s="108"/>
      <c r="S20" s="108" t="s">
        <v>361</v>
      </c>
      <c r="T20" s="104"/>
      <c r="U20" s="104"/>
      <c r="V20" s="112" t="s">
        <v>101</v>
      </c>
      <c r="W20" s="112">
        <v>6.0</v>
      </c>
      <c r="X20" s="112"/>
      <c r="Y20" s="112" t="s">
        <v>100</v>
      </c>
      <c r="Z20" s="112">
        <v>3.0</v>
      </c>
    </row>
    <row r="21" ht="12.75" customHeight="1">
      <c r="A21" s="104"/>
      <c r="B21" s="104" t="s">
        <v>345</v>
      </c>
      <c r="C21" s="108"/>
      <c r="D21" s="104" t="s">
        <v>103</v>
      </c>
      <c r="E21" s="104" t="s">
        <v>345</v>
      </c>
      <c r="F21" s="108"/>
      <c r="G21" s="108" t="s">
        <v>104</v>
      </c>
      <c r="H21" s="104" t="s">
        <v>345</v>
      </c>
      <c r="I21" s="108"/>
      <c r="J21" s="104" t="s">
        <v>105</v>
      </c>
      <c r="K21" s="104" t="s">
        <v>345</v>
      </c>
      <c r="L21" s="108"/>
      <c r="M21" s="104" t="s">
        <v>106</v>
      </c>
      <c r="N21" s="109">
        <v>6.0</v>
      </c>
      <c r="O21" s="110" t="s">
        <v>9</v>
      </c>
      <c r="P21" s="111" t="s">
        <v>101</v>
      </c>
      <c r="Q21" s="109">
        <v>1.0</v>
      </c>
      <c r="R21" s="110" t="s">
        <v>9</v>
      </c>
      <c r="S21" s="111" t="s">
        <v>102</v>
      </c>
      <c r="T21" s="104"/>
      <c r="U21" s="104"/>
      <c r="V21" s="112" t="s">
        <v>114</v>
      </c>
      <c r="W21" s="112">
        <v>12.0</v>
      </c>
      <c r="X21" s="112"/>
      <c r="Y21" s="112" t="s">
        <v>121</v>
      </c>
      <c r="Z21" s="112">
        <v>10.0</v>
      </c>
    </row>
    <row r="22" ht="12.75" customHeight="1">
      <c r="A22" s="104"/>
      <c r="B22" s="104"/>
      <c r="C22" s="104"/>
      <c r="D22" s="104"/>
      <c r="E22" s="104"/>
      <c r="F22" s="104"/>
      <c r="G22" s="104"/>
      <c r="H22" s="104" t="s">
        <v>345</v>
      </c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12" t="s">
        <v>127</v>
      </c>
      <c r="W22" s="112">
        <v>0.0</v>
      </c>
      <c r="X22" s="112"/>
      <c r="Y22" s="112" t="s">
        <v>126</v>
      </c>
      <c r="Z22" s="112">
        <v>4.0</v>
      </c>
    </row>
    <row r="23" ht="12.75" customHeight="1">
      <c r="A23" s="104" t="s">
        <v>109</v>
      </c>
      <c r="B23" s="104" t="s">
        <v>345</v>
      </c>
      <c r="C23" s="108"/>
      <c r="D23" s="104" t="s">
        <v>110</v>
      </c>
      <c r="E23" s="109">
        <v>6.0</v>
      </c>
      <c r="F23" s="110" t="s">
        <v>9</v>
      </c>
      <c r="G23" s="105" t="s">
        <v>111</v>
      </c>
      <c r="H23" s="109">
        <v>3.0</v>
      </c>
      <c r="I23" s="110" t="s">
        <v>9</v>
      </c>
      <c r="J23" s="111" t="s">
        <v>112</v>
      </c>
      <c r="K23" s="104" t="s">
        <v>345</v>
      </c>
      <c r="L23" s="108"/>
      <c r="M23" s="104" t="s">
        <v>113</v>
      </c>
      <c r="N23" s="109">
        <v>12.0</v>
      </c>
      <c r="O23" s="110" t="s">
        <v>9</v>
      </c>
      <c r="P23" s="111" t="s">
        <v>114</v>
      </c>
      <c r="Q23" s="109">
        <v>12.0</v>
      </c>
      <c r="R23" s="110" t="s">
        <v>9</v>
      </c>
      <c r="S23" s="105" t="s">
        <v>115</v>
      </c>
      <c r="T23" s="104"/>
      <c r="U23" s="104"/>
      <c r="V23" s="112"/>
      <c r="W23" s="112">
        <v>63.0</v>
      </c>
      <c r="X23" s="112"/>
      <c r="Y23" s="112"/>
      <c r="Z23" s="112">
        <v>44.0</v>
      </c>
    </row>
    <row r="24" ht="12.75" customHeight="1">
      <c r="A24" s="104"/>
      <c r="B24" s="109">
        <v>9.0</v>
      </c>
      <c r="C24" s="110" t="s">
        <v>9</v>
      </c>
      <c r="D24" s="111" t="s">
        <v>116</v>
      </c>
      <c r="E24" s="104" t="s">
        <v>345</v>
      </c>
      <c r="F24" s="108"/>
      <c r="G24" s="108" t="s">
        <v>117</v>
      </c>
      <c r="H24" s="104" t="s">
        <v>345</v>
      </c>
      <c r="I24" s="108"/>
      <c r="J24" s="104" t="s">
        <v>118</v>
      </c>
      <c r="K24" s="109">
        <v>10.0</v>
      </c>
      <c r="L24" s="110" t="s">
        <v>9</v>
      </c>
      <c r="M24" s="105" t="s">
        <v>121</v>
      </c>
      <c r="N24" s="104" t="s">
        <v>345</v>
      </c>
      <c r="O24" s="108"/>
      <c r="P24" s="104" t="s">
        <v>120</v>
      </c>
      <c r="Q24" s="104" t="s">
        <v>345</v>
      </c>
      <c r="R24" s="108"/>
      <c r="S24" s="108" t="s">
        <v>362</v>
      </c>
      <c r="T24" s="104"/>
      <c r="U24" s="104"/>
      <c r="V24" s="112"/>
      <c r="W24" s="112"/>
      <c r="X24" s="112"/>
      <c r="Y24" s="112"/>
      <c r="Z24" s="112"/>
    </row>
    <row r="25" ht="12.75" customHeight="1">
      <c r="A25" s="104"/>
      <c r="B25" s="104"/>
      <c r="C25" s="104"/>
      <c r="D25" s="104"/>
      <c r="E25" s="104"/>
      <c r="F25" s="104"/>
      <c r="G25" s="104"/>
      <c r="H25" s="104" t="s">
        <v>345</v>
      </c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7" t="s">
        <v>319</v>
      </c>
      <c r="W25" s="107"/>
      <c r="X25" s="107"/>
      <c r="Y25" s="107" t="s">
        <v>324</v>
      </c>
      <c r="Z25" s="107"/>
    </row>
    <row r="26" ht="12.75" customHeight="1">
      <c r="A26" s="104" t="s">
        <v>122</v>
      </c>
      <c r="B26" s="104" t="s">
        <v>345</v>
      </c>
      <c r="C26" s="108"/>
      <c r="D26" s="108" t="s">
        <v>123</v>
      </c>
      <c r="E26" s="104" t="s">
        <v>345</v>
      </c>
      <c r="F26" s="108"/>
      <c r="G26" s="108" t="s">
        <v>124</v>
      </c>
      <c r="H26" s="104" t="s">
        <v>345</v>
      </c>
      <c r="I26" s="108"/>
      <c r="J26" s="104" t="s">
        <v>125</v>
      </c>
      <c r="K26" s="109">
        <v>4.0</v>
      </c>
      <c r="L26" s="110" t="s">
        <v>9</v>
      </c>
      <c r="M26" s="111" t="s">
        <v>126</v>
      </c>
      <c r="N26" s="109">
        <v>0.0</v>
      </c>
      <c r="O26" s="110" t="s">
        <v>9</v>
      </c>
      <c r="P26" s="111" t="s">
        <v>127</v>
      </c>
      <c r="Q26" s="104" t="s">
        <v>345</v>
      </c>
      <c r="R26" s="108"/>
      <c r="S26" s="108" t="s">
        <v>128</v>
      </c>
      <c r="T26" s="104"/>
      <c r="U26" s="104"/>
      <c r="V26" s="112" t="s">
        <v>15</v>
      </c>
      <c r="W26" s="112">
        <v>11.0</v>
      </c>
      <c r="X26" s="112"/>
      <c r="Y26" s="112" t="s">
        <v>151</v>
      </c>
      <c r="Z26" s="112">
        <v>9.0</v>
      </c>
    </row>
    <row r="27" ht="12.75" customHeight="1">
      <c r="A27" s="104"/>
      <c r="B27" s="109">
        <v>6.0</v>
      </c>
      <c r="C27" s="110" t="s">
        <v>9</v>
      </c>
      <c r="D27" s="111" t="s">
        <v>129</v>
      </c>
      <c r="E27" s="109">
        <v>0.0</v>
      </c>
      <c r="F27" s="110" t="s">
        <v>9</v>
      </c>
      <c r="G27" s="111" t="s">
        <v>130</v>
      </c>
      <c r="H27" s="109">
        <v>5.0</v>
      </c>
      <c r="I27" s="110" t="s">
        <v>9</v>
      </c>
      <c r="J27" s="105" t="s">
        <v>131</v>
      </c>
      <c r="K27" s="104" t="s">
        <v>345</v>
      </c>
      <c r="L27" s="108"/>
      <c r="M27" s="104" t="s">
        <v>132</v>
      </c>
      <c r="N27" s="104" t="s">
        <v>345</v>
      </c>
      <c r="O27" s="108"/>
      <c r="P27" s="108" t="s">
        <v>133</v>
      </c>
      <c r="Q27" s="109">
        <v>4.0</v>
      </c>
      <c r="R27" s="110" t="s">
        <v>9</v>
      </c>
      <c r="S27" s="111" t="s">
        <v>134</v>
      </c>
      <c r="T27" s="104"/>
      <c r="U27" s="104"/>
      <c r="V27" s="112" t="s">
        <v>28</v>
      </c>
      <c r="W27" s="112">
        <v>12.0</v>
      </c>
      <c r="X27" s="112"/>
      <c r="Y27" s="112" t="s">
        <v>169</v>
      </c>
      <c r="Z27" s="112">
        <v>0.0</v>
      </c>
    </row>
    <row r="28" ht="12.75" customHeight="1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8" t="s">
        <v>95</v>
      </c>
      <c r="Q28" s="104"/>
      <c r="R28" s="104"/>
      <c r="S28" s="104"/>
      <c r="T28" s="104"/>
      <c r="U28" s="104"/>
      <c r="V28" s="112" t="s">
        <v>34</v>
      </c>
      <c r="W28" s="112">
        <v>0.0</v>
      </c>
      <c r="X28" s="112"/>
      <c r="Y28" s="112" t="s">
        <v>181</v>
      </c>
      <c r="Z28" s="112">
        <v>6.0</v>
      </c>
    </row>
    <row r="29" ht="12.75" customHeight="1">
      <c r="A29" s="115"/>
      <c r="B29" s="115"/>
      <c r="C29" s="115"/>
      <c r="D29" s="116">
        <v>45.0</v>
      </c>
      <c r="E29" s="115"/>
      <c r="F29" s="115"/>
      <c r="G29" s="116">
        <v>35.0</v>
      </c>
      <c r="H29" s="115"/>
      <c r="I29" s="115"/>
      <c r="J29" s="116">
        <v>42.0</v>
      </c>
      <c r="K29" s="115"/>
      <c r="L29" s="115"/>
      <c r="M29" s="116">
        <v>44.0</v>
      </c>
      <c r="N29" s="115"/>
      <c r="O29" s="115"/>
      <c r="P29" s="116">
        <v>63.0</v>
      </c>
      <c r="Q29" s="115"/>
      <c r="R29" s="115"/>
      <c r="S29" s="116">
        <v>33.0</v>
      </c>
      <c r="T29" s="115"/>
      <c r="U29" s="115"/>
      <c r="V29" s="112" t="s">
        <v>59</v>
      </c>
      <c r="W29" s="112">
        <v>0.0</v>
      </c>
      <c r="X29" s="112"/>
      <c r="Y29" s="112" t="s">
        <v>193</v>
      </c>
      <c r="Z29" s="112">
        <v>8.0</v>
      </c>
    </row>
    <row r="30" ht="12.75" customHeight="1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12" t="s">
        <v>71</v>
      </c>
      <c r="W30" s="112">
        <v>0.0</v>
      </c>
      <c r="X30" s="112"/>
      <c r="Y30" s="112" t="s">
        <v>205</v>
      </c>
      <c r="Z30" s="112">
        <v>6.0</v>
      </c>
    </row>
    <row r="31" ht="12.75" customHeight="1">
      <c r="A31" s="104" t="s">
        <v>135</v>
      </c>
      <c r="B31" s="104"/>
      <c r="C31" s="104"/>
      <c r="D31" s="104" t="s">
        <v>136</v>
      </c>
      <c r="E31" s="104"/>
      <c r="F31" s="104"/>
      <c r="G31" s="104" t="s">
        <v>137</v>
      </c>
      <c r="H31" s="104"/>
      <c r="I31" s="104"/>
      <c r="J31" s="104" t="s">
        <v>138</v>
      </c>
      <c r="K31" s="104"/>
      <c r="L31" s="104"/>
      <c r="M31" s="104" t="s">
        <v>139</v>
      </c>
      <c r="N31" s="104"/>
      <c r="O31" s="104"/>
      <c r="P31" s="104" t="s">
        <v>140</v>
      </c>
      <c r="Q31" s="104"/>
      <c r="R31" s="104"/>
      <c r="S31" s="104" t="s">
        <v>141</v>
      </c>
      <c r="T31" s="104"/>
      <c r="U31" s="104"/>
      <c r="V31" s="112" t="s">
        <v>78</v>
      </c>
      <c r="W31" s="112">
        <v>0.0</v>
      </c>
      <c r="X31" s="112"/>
      <c r="Y31" s="112" t="s">
        <v>229</v>
      </c>
      <c r="Z31" s="112">
        <v>0.0</v>
      </c>
    </row>
    <row r="32" ht="12.75" customHeight="1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 t="s">
        <v>142</v>
      </c>
      <c r="Q32" s="104"/>
      <c r="R32" s="104"/>
      <c r="S32" s="104"/>
      <c r="T32" s="104"/>
      <c r="U32" s="104"/>
      <c r="V32" s="112" t="s">
        <v>98</v>
      </c>
      <c r="W32" s="112">
        <v>6.0</v>
      </c>
      <c r="X32" s="112"/>
      <c r="Y32" s="112" t="s">
        <v>235</v>
      </c>
      <c r="Z32" s="112">
        <v>4.0</v>
      </c>
    </row>
    <row r="33" ht="12.75" customHeight="1">
      <c r="A33" s="104"/>
      <c r="B33" s="104"/>
      <c r="C33" s="104"/>
      <c r="D33" s="108"/>
      <c r="E33" s="104"/>
      <c r="F33" s="104"/>
      <c r="G33" s="108"/>
      <c r="H33" s="104"/>
      <c r="I33" s="104"/>
      <c r="J33" s="108"/>
      <c r="K33" s="108"/>
      <c r="L33" s="104"/>
      <c r="M33" s="108"/>
      <c r="N33" s="112"/>
      <c r="O33" s="112"/>
      <c r="P33" s="108"/>
      <c r="Q33" s="112"/>
      <c r="R33" s="104"/>
      <c r="S33" s="108"/>
      <c r="T33" s="104"/>
      <c r="U33" s="104"/>
      <c r="V33" s="112" t="s">
        <v>111</v>
      </c>
      <c r="W33" s="112">
        <v>6.0</v>
      </c>
      <c r="X33" s="112"/>
      <c r="Y33" s="112" t="s">
        <v>253</v>
      </c>
      <c r="Z33" s="112">
        <v>1.0</v>
      </c>
    </row>
    <row r="34" ht="12.75" customHeight="1">
      <c r="A34" s="104" t="s">
        <v>143</v>
      </c>
      <c r="B34" s="104"/>
      <c r="C34" s="104"/>
      <c r="D34" s="108"/>
      <c r="E34" s="104"/>
      <c r="F34" s="104"/>
      <c r="G34" s="108"/>
      <c r="H34" s="104"/>
      <c r="I34" s="104"/>
      <c r="J34" s="108"/>
      <c r="K34" s="108"/>
      <c r="L34" s="104"/>
      <c r="M34" s="108"/>
      <c r="N34" s="112"/>
      <c r="O34" s="112"/>
      <c r="P34" s="108"/>
      <c r="Q34" s="112"/>
      <c r="R34" s="104"/>
      <c r="S34" s="108"/>
      <c r="T34" s="104"/>
      <c r="U34" s="104"/>
      <c r="V34" s="112" t="s">
        <v>130</v>
      </c>
      <c r="W34" s="112">
        <v>0.0</v>
      </c>
      <c r="X34" s="112"/>
      <c r="Y34" s="112" t="s">
        <v>259</v>
      </c>
      <c r="Z34" s="112">
        <v>0.0</v>
      </c>
    </row>
    <row r="35" ht="12.75" customHeight="1">
      <c r="A35" s="104"/>
      <c r="B35" s="104"/>
      <c r="C35" s="104"/>
      <c r="D35" s="108"/>
      <c r="E35" s="104"/>
      <c r="F35" s="104"/>
      <c r="G35" s="108"/>
      <c r="H35" s="104"/>
      <c r="I35" s="104"/>
      <c r="J35" s="108"/>
      <c r="K35" s="108"/>
      <c r="L35" s="104"/>
      <c r="M35" s="108"/>
      <c r="N35" s="112"/>
      <c r="O35" s="112"/>
      <c r="P35" s="108"/>
      <c r="Q35" s="112"/>
      <c r="R35" s="104"/>
      <c r="S35" s="108"/>
      <c r="T35" s="104"/>
      <c r="U35" s="104"/>
      <c r="V35" s="112"/>
      <c r="W35" s="112">
        <v>35.0</v>
      </c>
      <c r="X35" s="112"/>
      <c r="Y35" s="112"/>
      <c r="Z35" s="112">
        <v>34.0</v>
      </c>
    </row>
    <row r="36" ht="12.75" customHeight="1">
      <c r="A36" s="104"/>
      <c r="B36" s="104"/>
      <c r="C36" s="104"/>
      <c r="D36" s="108"/>
      <c r="E36" s="104"/>
      <c r="F36" s="104"/>
      <c r="G36" s="108"/>
      <c r="H36" s="104"/>
      <c r="I36" s="104"/>
      <c r="J36" s="108"/>
      <c r="K36" s="104"/>
      <c r="L36" s="104"/>
      <c r="M36" s="108"/>
      <c r="N36" s="104"/>
      <c r="O36" s="104"/>
      <c r="P36" s="108"/>
      <c r="Q36" s="104"/>
      <c r="R36" s="104"/>
      <c r="S36" s="108"/>
      <c r="T36" s="104"/>
      <c r="U36" s="104"/>
      <c r="V36" s="112"/>
      <c r="W36" s="112"/>
      <c r="X36" s="112"/>
      <c r="Y36" s="112"/>
      <c r="Z36" s="112"/>
    </row>
    <row r="37" ht="12.75" customHeight="1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7" t="s">
        <v>326</v>
      </c>
      <c r="W37" s="107"/>
      <c r="X37" s="107"/>
      <c r="Y37" s="107" t="s">
        <v>329</v>
      </c>
      <c r="Z37" s="107"/>
    </row>
    <row r="38" ht="12.75" customHeight="1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12" t="s">
        <v>159</v>
      </c>
      <c r="W38" s="112">
        <v>14.0</v>
      </c>
      <c r="X38" s="112"/>
      <c r="Y38" s="112" t="s">
        <v>168</v>
      </c>
      <c r="Z38" s="112">
        <v>8.0</v>
      </c>
    </row>
    <row r="39" ht="12.75" customHeight="1">
      <c r="A39" s="111" t="s">
        <v>144</v>
      </c>
      <c r="B39" s="104"/>
      <c r="C39" s="104"/>
      <c r="D39" s="105" t="s">
        <v>145</v>
      </c>
      <c r="E39" s="104"/>
      <c r="F39" s="104"/>
      <c r="G39" s="105" t="s">
        <v>146</v>
      </c>
      <c r="H39" s="104"/>
      <c r="I39" s="104"/>
      <c r="J39" s="105" t="s">
        <v>147</v>
      </c>
      <c r="K39" s="104"/>
      <c r="L39" s="104"/>
      <c r="M39" s="105" t="s">
        <v>148</v>
      </c>
      <c r="N39" s="104"/>
      <c r="O39" s="104"/>
      <c r="P39" s="105" t="s">
        <v>149</v>
      </c>
      <c r="Q39" s="104"/>
      <c r="R39" s="104"/>
      <c r="S39" s="105" t="s">
        <v>150</v>
      </c>
      <c r="T39" s="104"/>
      <c r="U39" s="104"/>
      <c r="V39" s="112" t="s">
        <v>171</v>
      </c>
      <c r="W39" s="112">
        <v>2.0</v>
      </c>
      <c r="X39" s="112"/>
      <c r="Y39" s="112" t="s">
        <v>174</v>
      </c>
      <c r="Z39" s="112">
        <v>0.0</v>
      </c>
    </row>
    <row r="40" ht="12.75" customHeight="1">
      <c r="A40" s="104" t="s">
        <v>6</v>
      </c>
      <c r="B40" s="109">
        <v>9.0</v>
      </c>
      <c r="C40" s="110" t="s">
        <v>9</v>
      </c>
      <c r="D40" s="111" t="s">
        <v>151</v>
      </c>
      <c r="E40" s="109">
        <v>1.0</v>
      </c>
      <c r="F40" s="110" t="s">
        <v>9</v>
      </c>
      <c r="G40" s="111" t="s">
        <v>152</v>
      </c>
      <c r="H40" s="104" t="s">
        <v>345</v>
      </c>
      <c r="I40" s="108"/>
      <c r="J40" s="104" t="s">
        <v>153</v>
      </c>
      <c r="K40" s="109">
        <v>21.0</v>
      </c>
      <c r="L40" s="110" t="s">
        <v>9</v>
      </c>
      <c r="M40" s="111" t="s">
        <v>154</v>
      </c>
      <c r="N40" s="109">
        <v>8.0</v>
      </c>
      <c r="O40" s="110" t="s">
        <v>9</v>
      </c>
      <c r="P40" s="111" t="s">
        <v>155</v>
      </c>
      <c r="Q40" s="104" t="s">
        <v>345</v>
      </c>
      <c r="R40" s="108"/>
      <c r="S40" s="104" t="s">
        <v>156</v>
      </c>
      <c r="T40" s="104"/>
      <c r="U40" s="104"/>
      <c r="V40" s="112" t="s">
        <v>183</v>
      </c>
      <c r="W40" s="112">
        <v>9.0</v>
      </c>
      <c r="X40" s="112"/>
      <c r="Y40" s="112" t="s">
        <v>180</v>
      </c>
      <c r="Z40" s="112">
        <v>0.0</v>
      </c>
    </row>
    <row r="41" ht="12.75" customHeight="1">
      <c r="A41" s="104"/>
      <c r="B41" s="104" t="s">
        <v>345</v>
      </c>
      <c r="C41" s="108"/>
      <c r="D41" s="104" t="s">
        <v>163</v>
      </c>
      <c r="E41" s="104" t="s">
        <v>345</v>
      </c>
      <c r="F41" s="108"/>
      <c r="G41" s="104" t="s">
        <v>158</v>
      </c>
      <c r="H41" s="109">
        <v>14.0</v>
      </c>
      <c r="I41" s="110" t="s">
        <v>9</v>
      </c>
      <c r="J41" s="105" t="s">
        <v>159</v>
      </c>
      <c r="K41" s="104" t="s">
        <v>345</v>
      </c>
      <c r="L41" s="108"/>
      <c r="M41" s="104" t="s">
        <v>160</v>
      </c>
      <c r="N41" s="104" t="s">
        <v>345</v>
      </c>
      <c r="O41" s="108"/>
      <c r="P41" s="108" t="s">
        <v>161</v>
      </c>
      <c r="Q41" s="104" t="s">
        <v>345</v>
      </c>
      <c r="R41" s="108"/>
      <c r="S41" s="104" t="s">
        <v>162</v>
      </c>
      <c r="T41" s="104"/>
      <c r="U41" s="104"/>
      <c r="V41" s="112" t="s">
        <v>364</v>
      </c>
      <c r="W41" s="112">
        <v>0.0</v>
      </c>
      <c r="X41" s="112"/>
      <c r="Y41" s="112" t="s">
        <v>198</v>
      </c>
      <c r="Z41" s="112">
        <v>8.0</v>
      </c>
    </row>
    <row r="42" ht="12.75" customHeight="1">
      <c r="A42" s="104"/>
      <c r="B42" s="104" t="s">
        <v>345</v>
      </c>
      <c r="C42" s="108"/>
      <c r="D42" s="108" t="s">
        <v>157</v>
      </c>
      <c r="E42" s="104" t="s">
        <v>345</v>
      </c>
      <c r="F42" s="108"/>
      <c r="G42" s="108" t="s">
        <v>164</v>
      </c>
      <c r="H42" s="104" t="s">
        <v>345</v>
      </c>
      <c r="I42" s="108"/>
      <c r="J42" s="108" t="s">
        <v>365</v>
      </c>
      <c r="K42" s="104" t="s">
        <v>345</v>
      </c>
      <c r="L42" s="108"/>
      <c r="M42" s="104" t="s">
        <v>363</v>
      </c>
      <c r="N42" s="104" t="s">
        <v>345</v>
      </c>
      <c r="O42" s="108"/>
      <c r="P42" s="108" t="s">
        <v>167</v>
      </c>
      <c r="Q42" s="109">
        <v>8.0</v>
      </c>
      <c r="R42" s="110" t="s">
        <v>9</v>
      </c>
      <c r="S42" s="105" t="s">
        <v>168</v>
      </c>
      <c r="T42" s="104"/>
      <c r="U42" s="104"/>
      <c r="V42" s="112" t="s">
        <v>201</v>
      </c>
      <c r="W42" s="112">
        <v>0.0</v>
      </c>
      <c r="X42" s="112"/>
      <c r="Y42" s="112" t="s">
        <v>216</v>
      </c>
      <c r="Z42" s="112">
        <v>3.0</v>
      </c>
    </row>
    <row r="43" ht="12.75" customHeight="1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12" t="s">
        <v>219</v>
      </c>
      <c r="W43" s="112">
        <v>2.0</v>
      </c>
      <c r="X43" s="112"/>
      <c r="Y43" s="112" t="s">
        <v>222</v>
      </c>
      <c r="Z43" s="112">
        <v>0.0</v>
      </c>
    </row>
    <row r="44" ht="12.75" customHeight="1">
      <c r="A44" s="104" t="s">
        <v>26</v>
      </c>
      <c r="B44" s="109">
        <v>0.0</v>
      </c>
      <c r="C44" s="110" t="s">
        <v>9</v>
      </c>
      <c r="D44" s="111" t="s">
        <v>169</v>
      </c>
      <c r="E44" s="109">
        <v>3.0</v>
      </c>
      <c r="F44" s="110" t="s">
        <v>9</v>
      </c>
      <c r="G44" s="111" t="s">
        <v>170</v>
      </c>
      <c r="H44" s="109">
        <v>2.0</v>
      </c>
      <c r="I44" s="110" t="s">
        <v>9</v>
      </c>
      <c r="J44" s="111" t="s">
        <v>171</v>
      </c>
      <c r="K44" s="109">
        <v>21.0</v>
      </c>
      <c r="L44" s="110" t="s">
        <v>9</v>
      </c>
      <c r="M44" s="111" t="s">
        <v>172</v>
      </c>
      <c r="N44" s="109">
        <v>0.0</v>
      </c>
      <c r="O44" s="110" t="s">
        <v>9</v>
      </c>
      <c r="P44" s="105" t="s">
        <v>173</v>
      </c>
      <c r="Q44" s="109">
        <v>0.0</v>
      </c>
      <c r="R44" s="110" t="s">
        <v>9</v>
      </c>
      <c r="S44" s="111" t="s">
        <v>174</v>
      </c>
      <c r="T44" s="104"/>
      <c r="U44" s="104"/>
      <c r="V44" s="112" t="s">
        <v>237</v>
      </c>
      <c r="W44" s="112">
        <v>6.0</v>
      </c>
      <c r="X44" s="112"/>
      <c r="Y44" s="112" t="s">
        <v>240</v>
      </c>
      <c r="Z44" s="112">
        <v>6.0</v>
      </c>
    </row>
    <row r="45" ht="12.75" customHeight="1">
      <c r="A45" s="104"/>
      <c r="B45" s="104" t="s">
        <v>345</v>
      </c>
      <c r="C45" s="108"/>
      <c r="D45" s="104" t="s">
        <v>175</v>
      </c>
      <c r="E45" s="109">
        <v>12.0</v>
      </c>
      <c r="F45" s="110" t="s">
        <v>9</v>
      </c>
      <c r="G45" s="111" t="s">
        <v>176</v>
      </c>
      <c r="H45" s="104" t="s">
        <v>345</v>
      </c>
      <c r="I45" s="108"/>
      <c r="J45" s="108" t="s">
        <v>177</v>
      </c>
      <c r="K45" s="109">
        <v>5.0</v>
      </c>
      <c r="L45" s="110" t="s">
        <v>9</v>
      </c>
      <c r="M45" s="111" t="s">
        <v>178</v>
      </c>
      <c r="N45" s="104" t="s">
        <v>345</v>
      </c>
      <c r="O45" s="108"/>
      <c r="P45" s="104" t="s">
        <v>179</v>
      </c>
      <c r="Q45" s="109">
        <v>0.0</v>
      </c>
      <c r="R45" s="110" t="s">
        <v>9</v>
      </c>
      <c r="S45" s="111" t="s">
        <v>180</v>
      </c>
      <c r="T45" s="104"/>
      <c r="U45" s="104"/>
      <c r="V45" s="112" t="s">
        <v>255</v>
      </c>
      <c r="W45" s="112">
        <v>12.0</v>
      </c>
      <c r="X45" s="112"/>
      <c r="Y45" s="112" t="s">
        <v>258</v>
      </c>
      <c r="Z45" s="112">
        <v>5.0</v>
      </c>
    </row>
    <row r="46" ht="12.75" customHeight="1">
      <c r="A46" s="104"/>
      <c r="B46" s="109">
        <v>6.0</v>
      </c>
      <c r="C46" s="110" t="s">
        <v>9</v>
      </c>
      <c r="D46" s="105" t="s">
        <v>181</v>
      </c>
      <c r="E46" s="104" t="s">
        <v>345</v>
      </c>
      <c r="F46" s="108"/>
      <c r="G46" s="104" t="s">
        <v>182</v>
      </c>
      <c r="H46" s="109">
        <v>9.0</v>
      </c>
      <c r="I46" s="110" t="s">
        <v>9</v>
      </c>
      <c r="J46" s="105" t="s">
        <v>183</v>
      </c>
      <c r="K46" s="104" t="s">
        <v>345</v>
      </c>
      <c r="L46" s="108"/>
      <c r="M46" s="108" t="s">
        <v>184</v>
      </c>
      <c r="N46" s="109">
        <v>6.0</v>
      </c>
      <c r="O46" s="110" t="s">
        <v>9</v>
      </c>
      <c r="P46" s="117" t="s">
        <v>185</v>
      </c>
      <c r="Q46" s="104" t="s">
        <v>345</v>
      </c>
      <c r="R46" s="108"/>
      <c r="S46" s="108" t="s">
        <v>186</v>
      </c>
      <c r="T46" s="104"/>
      <c r="U46" s="104"/>
      <c r="V46" s="112" t="s">
        <v>261</v>
      </c>
      <c r="W46" s="112">
        <v>4.0</v>
      </c>
      <c r="X46" s="112"/>
      <c r="Y46" s="112" t="s">
        <v>270</v>
      </c>
      <c r="Z46" s="112">
        <v>0.0</v>
      </c>
    </row>
    <row r="47" ht="12.75" customHeight="1">
      <c r="A47" s="104"/>
      <c r="B47" s="104" t="s">
        <v>345</v>
      </c>
      <c r="C47" s="108"/>
      <c r="D47" s="108" t="s">
        <v>366</v>
      </c>
      <c r="E47" s="104" t="s">
        <v>345</v>
      </c>
      <c r="F47" s="108"/>
      <c r="G47" s="108" t="s">
        <v>188</v>
      </c>
      <c r="H47" s="104" t="s">
        <v>345</v>
      </c>
      <c r="I47" s="108"/>
      <c r="J47" s="108" t="s">
        <v>189</v>
      </c>
      <c r="K47" s="104" t="s">
        <v>345</v>
      </c>
      <c r="L47" s="108"/>
      <c r="M47" s="108" t="s">
        <v>37</v>
      </c>
      <c r="N47" s="104" t="s">
        <v>345</v>
      </c>
      <c r="O47" s="108"/>
      <c r="P47" s="108" t="s">
        <v>191</v>
      </c>
      <c r="Q47" s="104" t="s">
        <v>345</v>
      </c>
      <c r="R47" s="108"/>
      <c r="S47" s="104" t="s">
        <v>367</v>
      </c>
      <c r="T47" s="104"/>
      <c r="U47" s="104"/>
      <c r="V47" s="112"/>
      <c r="W47" s="112">
        <v>49.0</v>
      </c>
      <c r="X47" s="112"/>
      <c r="Y47" s="112"/>
      <c r="Z47" s="112">
        <v>30.0</v>
      </c>
    </row>
    <row r="48" ht="12.75" customHeight="1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12"/>
      <c r="W48" s="112"/>
      <c r="X48" s="112"/>
      <c r="Y48" s="112"/>
      <c r="Z48" s="112"/>
    </row>
    <row r="49" ht="12.75" customHeight="1">
      <c r="A49" s="104" t="s">
        <v>51</v>
      </c>
      <c r="B49" s="109">
        <v>8.0</v>
      </c>
      <c r="C49" s="110" t="s">
        <v>9</v>
      </c>
      <c r="D49" s="111" t="s">
        <v>193</v>
      </c>
      <c r="E49" s="109">
        <v>0.0</v>
      </c>
      <c r="F49" s="110" t="s">
        <v>9</v>
      </c>
      <c r="G49" s="111" t="s">
        <v>194</v>
      </c>
      <c r="H49" s="109">
        <v>0.0</v>
      </c>
      <c r="I49" s="110" t="s">
        <v>9</v>
      </c>
      <c r="J49" s="111" t="s">
        <v>364</v>
      </c>
      <c r="K49" s="104" t="s">
        <v>345</v>
      </c>
      <c r="L49" s="108"/>
      <c r="M49" s="104" t="s">
        <v>196</v>
      </c>
      <c r="N49" s="109">
        <v>0.0</v>
      </c>
      <c r="O49" s="110" t="s">
        <v>9</v>
      </c>
      <c r="P49" s="111" t="s">
        <v>197</v>
      </c>
      <c r="Q49" s="109">
        <v>8.0</v>
      </c>
      <c r="R49" s="110" t="s">
        <v>9</v>
      </c>
      <c r="S49" s="105" t="s">
        <v>198</v>
      </c>
      <c r="T49" s="104"/>
      <c r="U49" s="104"/>
      <c r="V49" s="107" t="s">
        <v>325</v>
      </c>
      <c r="W49" s="107"/>
      <c r="X49" s="107"/>
      <c r="Y49" s="107" t="s">
        <v>320</v>
      </c>
      <c r="Z49" s="107"/>
    </row>
    <row r="50" ht="12.75" customHeight="1">
      <c r="A50" s="104"/>
      <c r="B50" s="104" t="s">
        <v>345</v>
      </c>
      <c r="C50" s="108"/>
      <c r="D50" s="104" t="s">
        <v>199</v>
      </c>
      <c r="E50" s="109">
        <v>6.0</v>
      </c>
      <c r="F50" s="110" t="s">
        <v>9</v>
      </c>
      <c r="G50" s="105" t="s">
        <v>200</v>
      </c>
      <c r="H50" s="109">
        <v>0.0</v>
      </c>
      <c r="I50" s="110" t="s">
        <v>9</v>
      </c>
      <c r="J50" s="111" t="s">
        <v>201</v>
      </c>
      <c r="K50" s="104" t="s">
        <v>345</v>
      </c>
      <c r="L50" s="108"/>
      <c r="M50" s="104" t="s">
        <v>202</v>
      </c>
      <c r="N50" s="109">
        <v>0.0</v>
      </c>
      <c r="O50" s="110" t="s">
        <v>9</v>
      </c>
      <c r="P50" s="111" t="s">
        <v>203</v>
      </c>
      <c r="Q50" s="104" t="s">
        <v>345</v>
      </c>
      <c r="R50" s="108"/>
      <c r="S50" s="104" t="s">
        <v>204</v>
      </c>
      <c r="T50" s="104"/>
      <c r="U50" s="104"/>
      <c r="V50" s="112" t="s">
        <v>152</v>
      </c>
      <c r="W50" s="112">
        <v>1.0</v>
      </c>
      <c r="X50" s="112"/>
      <c r="Y50" s="112" t="s">
        <v>22</v>
      </c>
      <c r="Z50" s="112">
        <v>9.0</v>
      </c>
    </row>
    <row r="51" ht="12.75" customHeight="1">
      <c r="A51" s="104"/>
      <c r="B51" s="109">
        <v>6.0</v>
      </c>
      <c r="C51" s="110" t="s">
        <v>9</v>
      </c>
      <c r="D51" s="111" t="s">
        <v>205</v>
      </c>
      <c r="E51" s="104" t="s">
        <v>345</v>
      </c>
      <c r="F51" s="108"/>
      <c r="G51" s="104" t="s">
        <v>206</v>
      </c>
      <c r="H51" s="104" t="s">
        <v>345</v>
      </c>
      <c r="I51" s="108"/>
      <c r="J51" s="113" t="s">
        <v>207</v>
      </c>
      <c r="K51" s="109">
        <v>6.0</v>
      </c>
      <c r="L51" s="110" t="s">
        <v>9</v>
      </c>
      <c r="M51" s="111" t="s">
        <v>208</v>
      </c>
      <c r="N51" s="104" t="s">
        <v>345</v>
      </c>
      <c r="O51" s="108"/>
      <c r="P51" s="104" t="s">
        <v>209</v>
      </c>
      <c r="Q51" s="104" t="s">
        <v>345</v>
      </c>
      <c r="R51" s="108"/>
      <c r="S51" s="104" t="s">
        <v>210</v>
      </c>
      <c r="T51" s="104"/>
      <c r="U51" s="104"/>
      <c r="V51" s="112" t="s">
        <v>170</v>
      </c>
      <c r="W51" s="112">
        <v>3.0</v>
      </c>
      <c r="X51" s="112"/>
      <c r="Y51" s="112" t="s">
        <v>29</v>
      </c>
      <c r="Z51" s="112">
        <v>8.0</v>
      </c>
    </row>
    <row r="52" ht="12.75" customHeight="1">
      <c r="A52" s="104"/>
      <c r="B52" s="104" t="s">
        <v>345</v>
      </c>
      <c r="C52" s="108"/>
      <c r="D52" s="108" t="s">
        <v>368</v>
      </c>
      <c r="E52" s="104" t="s">
        <v>345</v>
      </c>
      <c r="F52" s="108"/>
      <c r="G52" s="114" t="s">
        <v>212</v>
      </c>
      <c r="H52" s="104" t="s">
        <v>345</v>
      </c>
      <c r="I52" s="108"/>
      <c r="J52" s="108" t="s">
        <v>213</v>
      </c>
      <c r="K52" s="109">
        <v>6.0</v>
      </c>
      <c r="L52" s="110" t="s">
        <v>9</v>
      </c>
      <c r="M52" s="105" t="s">
        <v>349</v>
      </c>
      <c r="N52" s="104" t="s">
        <v>345</v>
      </c>
      <c r="O52" s="108"/>
      <c r="P52" s="108" t="s">
        <v>215</v>
      </c>
      <c r="Q52" s="109">
        <v>3.0</v>
      </c>
      <c r="R52" s="110" t="s">
        <v>9</v>
      </c>
      <c r="S52" s="105" t="s">
        <v>216</v>
      </c>
      <c r="T52" s="104"/>
      <c r="U52" s="104"/>
      <c r="V52" s="112" t="s">
        <v>176</v>
      </c>
      <c r="W52" s="112">
        <v>12.0</v>
      </c>
      <c r="X52" s="112"/>
      <c r="Y52" s="112" t="s">
        <v>35</v>
      </c>
      <c r="Z52" s="112">
        <v>0.0</v>
      </c>
    </row>
    <row r="53" ht="12.75" customHeight="1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12" t="s">
        <v>194</v>
      </c>
      <c r="W53" s="112">
        <v>0.0</v>
      </c>
      <c r="X53" s="112"/>
      <c r="Y53" s="112" t="s">
        <v>54</v>
      </c>
      <c r="Z53" s="112">
        <v>0.0</v>
      </c>
    </row>
    <row r="54" ht="12.75" customHeight="1">
      <c r="A54" s="104" t="s">
        <v>76</v>
      </c>
      <c r="B54" s="104" t="s">
        <v>345</v>
      </c>
      <c r="C54" s="108"/>
      <c r="D54" s="104" t="s">
        <v>217</v>
      </c>
      <c r="E54" s="109">
        <v>6.0</v>
      </c>
      <c r="F54" s="110" t="s">
        <v>9</v>
      </c>
      <c r="G54" s="111" t="s">
        <v>218</v>
      </c>
      <c r="H54" s="109">
        <v>2.0</v>
      </c>
      <c r="I54" s="110" t="s">
        <v>9</v>
      </c>
      <c r="J54" s="111" t="s">
        <v>219</v>
      </c>
      <c r="K54" s="104" t="s">
        <v>345</v>
      </c>
      <c r="L54" s="108"/>
      <c r="M54" s="108" t="s">
        <v>220</v>
      </c>
      <c r="N54" s="109">
        <v>15.0</v>
      </c>
      <c r="O54" s="110" t="s">
        <v>9</v>
      </c>
      <c r="P54" s="111" t="s">
        <v>221</v>
      </c>
      <c r="Q54" s="109">
        <v>0.0</v>
      </c>
      <c r="R54" s="110" t="s">
        <v>9</v>
      </c>
      <c r="S54" s="111" t="s">
        <v>222</v>
      </c>
      <c r="T54" s="104"/>
      <c r="U54" s="104"/>
      <c r="V54" s="112" t="s">
        <v>200</v>
      </c>
      <c r="W54" s="112">
        <v>6.0</v>
      </c>
      <c r="X54" s="112"/>
      <c r="Y54" s="112" t="s">
        <v>66</v>
      </c>
      <c r="Z54" s="112">
        <v>9.0</v>
      </c>
    </row>
    <row r="55" ht="12.75" customHeight="1">
      <c r="A55" s="104"/>
      <c r="B55" s="104" t="s">
        <v>345</v>
      </c>
      <c r="C55" s="108"/>
      <c r="D55" s="108" t="s">
        <v>223</v>
      </c>
      <c r="E55" s="104" t="s">
        <v>345</v>
      </c>
      <c r="F55" s="108"/>
      <c r="G55" s="104" t="s">
        <v>224</v>
      </c>
      <c r="H55" s="104" t="s">
        <v>345</v>
      </c>
      <c r="I55" s="108"/>
      <c r="J55" s="104" t="s">
        <v>225</v>
      </c>
      <c r="K55" s="109">
        <v>0.0</v>
      </c>
      <c r="L55" s="110" t="s">
        <v>9</v>
      </c>
      <c r="M55" s="105" t="s">
        <v>226</v>
      </c>
      <c r="N55" s="104" t="s">
        <v>345</v>
      </c>
      <c r="O55" s="108"/>
      <c r="P55" s="104" t="s">
        <v>227</v>
      </c>
      <c r="Q55" s="104" t="s">
        <v>345</v>
      </c>
      <c r="R55" s="108"/>
      <c r="S55" s="108" t="s">
        <v>228</v>
      </c>
      <c r="T55" s="104"/>
      <c r="U55" s="104"/>
      <c r="V55" s="112" t="s">
        <v>218</v>
      </c>
      <c r="W55" s="112">
        <v>6.0</v>
      </c>
      <c r="X55" s="112"/>
      <c r="Y55" s="112" t="s">
        <v>91</v>
      </c>
      <c r="Z55" s="112">
        <v>0.0</v>
      </c>
    </row>
    <row r="56" ht="12.75" customHeight="1">
      <c r="A56" s="104"/>
      <c r="B56" s="109">
        <v>0.0</v>
      </c>
      <c r="C56" s="110" t="s">
        <v>9</v>
      </c>
      <c r="D56" s="105" t="s">
        <v>229</v>
      </c>
      <c r="E56" s="104" t="s">
        <v>345</v>
      </c>
      <c r="F56" s="108"/>
      <c r="G56" s="104" t="s">
        <v>230</v>
      </c>
      <c r="H56" s="104" t="s">
        <v>345</v>
      </c>
      <c r="I56" s="108"/>
      <c r="J56" s="108" t="s">
        <v>231</v>
      </c>
      <c r="K56" s="104" t="s">
        <v>345</v>
      </c>
      <c r="L56" s="108"/>
      <c r="M56" s="108" t="s">
        <v>369</v>
      </c>
      <c r="N56" s="104" t="s">
        <v>345</v>
      </c>
      <c r="O56" s="108"/>
      <c r="P56" s="104" t="s">
        <v>233</v>
      </c>
      <c r="Q56" s="104" t="s">
        <v>345</v>
      </c>
      <c r="R56" s="108"/>
      <c r="S56" s="108" t="s">
        <v>234</v>
      </c>
      <c r="T56" s="104"/>
      <c r="U56" s="104"/>
      <c r="V56" s="112" t="s">
        <v>242</v>
      </c>
      <c r="W56" s="112">
        <v>3.0</v>
      </c>
      <c r="X56" s="112"/>
      <c r="Y56" s="112" t="s">
        <v>99</v>
      </c>
      <c r="Z56" s="112">
        <v>8.0</v>
      </c>
    </row>
    <row r="57" ht="12.75" customHeight="1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12" t="s">
        <v>248</v>
      </c>
      <c r="W57" s="112">
        <v>8.0</v>
      </c>
      <c r="X57" s="112"/>
      <c r="Y57" s="112" t="s">
        <v>112</v>
      </c>
      <c r="Z57" s="112">
        <v>3.0</v>
      </c>
    </row>
    <row r="58" ht="12.75" customHeight="1">
      <c r="A58" s="104" t="s">
        <v>96</v>
      </c>
      <c r="B58" s="109">
        <v>4.0</v>
      </c>
      <c r="C58" s="110" t="s">
        <v>9</v>
      </c>
      <c r="D58" s="111" t="s">
        <v>235</v>
      </c>
      <c r="E58" s="104" t="s">
        <v>345</v>
      </c>
      <c r="F58" s="108"/>
      <c r="G58" s="104" t="s">
        <v>236</v>
      </c>
      <c r="H58" s="104" t="s">
        <v>345</v>
      </c>
      <c r="I58" s="108"/>
      <c r="J58" s="104" t="s">
        <v>370</v>
      </c>
      <c r="K58" s="109">
        <v>2.0</v>
      </c>
      <c r="L58" s="110" t="s">
        <v>9</v>
      </c>
      <c r="M58" s="105" t="s">
        <v>238</v>
      </c>
      <c r="N58" s="109">
        <v>0.0</v>
      </c>
      <c r="O58" s="110" t="s">
        <v>9</v>
      </c>
      <c r="P58" s="105" t="s">
        <v>239</v>
      </c>
      <c r="Q58" s="109">
        <v>6.0</v>
      </c>
      <c r="R58" s="110" t="s">
        <v>9</v>
      </c>
      <c r="S58" s="111" t="s">
        <v>240</v>
      </c>
      <c r="T58" s="104"/>
      <c r="U58" s="104"/>
      <c r="V58" s="112" t="s">
        <v>260</v>
      </c>
      <c r="W58" s="112">
        <v>5.0</v>
      </c>
      <c r="X58" s="112"/>
      <c r="Y58" s="112" t="s">
        <v>131</v>
      </c>
      <c r="Z58" s="112">
        <v>5.0</v>
      </c>
    </row>
    <row r="59" ht="12.75" customHeight="1">
      <c r="A59" s="104"/>
      <c r="B59" s="104" t="s">
        <v>345</v>
      </c>
      <c r="C59" s="108"/>
      <c r="D59" s="108" t="s">
        <v>371</v>
      </c>
      <c r="E59" s="109">
        <v>3.0</v>
      </c>
      <c r="F59" s="110" t="s">
        <v>9</v>
      </c>
      <c r="G59" s="111" t="s">
        <v>242</v>
      </c>
      <c r="H59" s="109">
        <v>6.0</v>
      </c>
      <c r="I59" s="110" t="s">
        <v>9</v>
      </c>
      <c r="J59" s="111" t="s">
        <v>237</v>
      </c>
      <c r="K59" s="104" t="s">
        <v>345</v>
      </c>
      <c r="L59" s="108"/>
      <c r="M59" s="108" t="s">
        <v>244</v>
      </c>
      <c r="N59" s="104" t="s">
        <v>345</v>
      </c>
      <c r="O59" s="108"/>
      <c r="P59" s="108" t="s">
        <v>245</v>
      </c>
      <c r="Q59" s="104" t="s">
        <v>345</v>
      </c>
      <c r="R59" s="108"/>
      <c r="S59" s="108" t="s">
        <v>246</v>
      </c>
      <c r="T59" s="104"/>
      <c r="U59" s="104"/>
      <c r="V59" s="112"/>
      <c r="W59" s="112">
        <v>44.0</v>
      </c>
      <c r="X59" s="112"/>
      <c r="Y59" s="112"/>
      <c r="Z59" s="112">
        <v>42.0</v>
      </c>
    </row>
    <row r="60" ht="12.75" customHeight="1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12"/>
      <c r="W60" s="112"/>
      <c r="X60" s="112"/>
      <c r="Y60" s="112"/>
      <c r="Z60" s="112"/>
    </row>
    <row r="61" ht="12.75" customHeight="1">
      <c r="A61" s="104" t="s">
        <v>109</v>
      </c>
      <c r="B61" s="104" t="s">
        <v>345</v>
      </c>
      <c r="C61" s="108"/>
      <c r="D61" s="104" t="s">
        <v>247</v>
      </c>
      <c r="E61" s="109">
        <v>8.0</v>
      </c>
      <c r="F61" s="110" t="s">
        <v>9</v>
      </c>
      <c r="G61" s="105" t="s">
        <v>248</v>
      </c>
      <c r="H61" s="104" t="s">
        <v>345</v>
      </c>
      <c r="I61" s="108"/>
      <c r="J61" s="108" t="s">
        <v>249</v>
      </c>
      <c r="K61" s="109">
        <v>17.0</v>
      </c>
      <c r="L61" s="110" t="s">
        <v>9</v>
      </c>
      <c r="M61" s="105" t="s">
        <v>250</v>
      </c>
      <c r="N61" s="104" t="s">
        <v>345</v>
      </c>
      <c r="O61" s="108"/>
      <c r="P61" s="104" t="s">
        <v>251</v>
      </c>
      <c r="Q61" s="104" t="s">
        <v>345</v>
      </c>
      <c r="R61" s="108"/>
      <c r="S61" s="105" t="s">
        <v>252</v>
      </c>
      <c r="T61" s="104"/>
      <c r="U61" s="104"/>
      <c r="V61" s="107" t="s">
        <v>328</v>
      </c>
      <c r="W61" s="107"/>
      <c r="X61" s="107"/>
      <c r="Y61" s="107" t="s">
        <v>323</v>
      </c>
      <c r="Z61" s="107"/>
    </row>
    <row r="62" ht="12.75" customHeight="1">
      <c r="A62" s="104"/>
      <c r="B62" s="109">
        <v>1.0</v>
      </c>
      <c r="C62" s="110" t="s">
        <v>9</v>
      </c>
      <c r="D62" s="111" t="s">
        <v>253</v>
      </c>
      <c r="E62" s="104" t="s">
        <v>345</v>
      </c>
      <c r="F62" s="108"/>
      <c r="G62" s="108" t="s">
        <v>254</v>
      </c>
      <c r="H62" s="109">
        <v>12.0</v>
      </c>
      <c r="I62" s="110" t="s">
        <v>9</v>
      </c>
      <c r="J62" s="105" t="s">
        <v>255</v>
      </c>
      <c r="K62" s="104" t="s">
        <v>345</v>
      </c>
      <c r="L62" s="108"/>
      <c r="M62" s="104" t="s">
        <v>256</v>
      </c>
      <c r="N62" s="109">
        <v>13.0</v>
      </c>
      <c r="O62" s="110" t="s">
        <v>9</v>
      </c>
      <c r="P62" s="105" t="s">
        <v>257</v>
      </c>
      <c r="Q62" s="109">
        <v>5.0</v>
      </c>
      <c r="R62" s="110" t="s">
        <v>9</v>
      </c>
      <c r="S62" s="108" t="s">
        <v>258</v>
      </c>
      <c r="T62" s="104"/>
      <c r="U62" s="104"/>
      <c r="V62" s="112" t="s">
        <v>155</v>
      </c>
      <c r="W62" s="112">
        <v>8.0</v>
      </c>
      <c r="X62" s="112"/>
      <c r="Y62" s="112" t="s">
        <v>13</v>
      </c>
      <c r="Z62" s="112">
        <v>8.0</v>
      </c>
    </row>
    <row r="63" ht="12.75" customHeight="1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12" t="s">
        <v>173</v>
      </c>
      <c r="W63" s="112">
        <v>0.0</v>
      </c>
      <c r="X63" s="112"/>
      <c r="Y63" s="112" t="s">
        <v>32</v>
      </c>
      <c r="Z63" s="112">
        <v>0.0</v>
      </c>
    </row>
    <row r="64" ht="12.75" customHeight="1">
      <c r="A64" s="104" t="s">
        <v>122</v>
      </c>
      <c r="B64" s="109">
        <v>0.0</v>
      </c>
      <c r="C64" s="110" t="s">
        <v>9</v>
      </c>
      <c r="D64" s="105" t="s">
        <v>259</v>
      </c>
      <c r="E64" s="109">
        <v>5.0</v>
      </c>
      <c r="F64" s="110" t="s">
        <v>9</v>
      </c>
      <c r="G64" s="111" t="s">
        <v>260</v>
      </c>
      <c r="H64" s="109">
        <v>4.0</v>
      </c>
      <c r="I64" s="110" t="s">
        <v>9</v>
      </c>
      <c r="J64" s="111" t="s">
        <v>261</v>
      </c>
      <c r="K64" s="109">
        <v>4.0</v>
      </c>
      <c r="L64" s="110" t="s">
        <v>9</v>
      </c>
      <c r="M64" s="105" t="s">
        <v>262</v>
      </c>
      <c r="N64" s="104" t="s">
        <v>345</v>
      </c>
      <c r="O64" s="108"/>
      <c r="P64" s="108" t="s">
        <v>263</v>
      </c>
      <c r="Q64" s="104" t="s">
        <v>345</v>
      </c>
      <c r="R64" s="108"/>
      <c r="S64" s="104" t="s">
        <v>264</v>
      </c>
      <c r="T64" s="104"/>
      <c r="U64" s="104"/>
      <c r="V64" s="113" t="s">
        <v>185</v>
      </c>
      <c r="W64" s="112">
        <v>6.0</v>
      </c>
      <c r="X64" s="112"/>
      <c r="Y64" s="112" t="s">
        <v>50</v>
      </c>
      <c r="Z64" s="112">
        <v>0.0</v>
      </c>
    </row>
    <row r="65" ht="12.75" customHeight="1">
      <c r="A65" s="104"/>
      <c r="B65" s="104" t="s">
        <v>345</v>
      </c>
      <c r="C65" s="108"/>
      <c r="D65" s="104" t="s">
        <v>265</v>
      </c>
      <c r="E65" s="104" t="s">
        <v>345</v>
      </c>
      <c r="F65" s="108"/>
      <c r="G65" s="108" t="s">
        <v>266</v>
      </c>
      <c r="H65" s="104" t="s">
        <v>345</v>
      </c>
      <c r="I65" s="108"/>
      <c r="J65" s="104" t="s">
        <v>267</v>
      </c>
      <c r="K65" s="104" t="s">
        <v>345</v>
      </c>
      <c r="L65" s="108"/>
      <c r="M65" s="104" t="s">
        <v>268</v>
      </c>
      <c r="N65" s="109">
        <v>4.0</v>
      </c>
      <c r="O65" s="110" t="s">
        <v>9</v>
      </c>
      <c r="P65" s="111" t="s">
        <v>269</v>
      </c>
      <c r="Q65" s="109">
        <v>0.0</v>
      </c>
      <c r="R65" s="110" t="s">
        <v>9</v>
      </c>
      <c r="S65" s="105" t="s">
        <v>270</v>
      </c>
      <c r="T65" s="104"/>
      <c r="U65" s="104"/>
      <c r="V65" s="112" t="s">
        <v>197</v>
      </c>
      <c r="W65" s="112">
        <v>0.0</v>
      </c>
      <c r="X65" s="112"/>
      <c r="Y65" s="112" t="s">
        <v>57</v>
      </c>
      <c r="Z65" s="112">
        <v>8.0</v>
      </c>
    </row>
    <row r="66" ht="12.75" customHeight="1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12" t="s">
        <v>203</v>
      </c>
      <c r="W66" s="112">
        <v>0.0</v>
      </c>
      <c r="X66" s="112"/>
      <c r="Y66" s="112" t="s">
        <v>75</v>
      </c>
      <c r="Z66" s="112">
        <v>0.0</v>
      </c>
    </row>
    <row r="67" ht="12.75" customHeight="1">
      <c r="A67" s="115"/>
      <c r="B67" s="115"/>
      <c r="C67" s="115"/>
      <c r="D67" s="116">
        <v>34.0</v>
      </c>
      <c r="E67" s="115"/>
      <c r="F67" s="115"/>
      <c r="G67" s="116">
        <v>44.0</v>
      </c>
      <c r="H67" s="115"/>
      <c r="I67" s="115"/>
      <c r="J67" s="116">
        <v>49.0</v>
      </c>
      <c r="K67" s="115"/>
      <c r="L67" s="115"/>
      <c r="M67" s="116">
        <v>82.0</v>
      </c>
      <c r="N67" s="115"/>
      <c r="O67" s="115"/>
      <c r="P67" s="116">
        <v>46.0</v>
      </c>
      <c r="Q67" s="115"/>
      <c r="R67" s="115"/>
      <c r="S67" s="116">
        <v>30.0</v>
      </c>
      <c r="T67" s="115"/>
      <c r="U67" s="115"/>
      <c r="V67" s="112" t="s">
        <v>221</v>
      </c>
      <c r="W67" s="112">
        <v>15.0</v>
      </c>
      <c r="X67" s="112"/>
      <c r="Y67" s="112" t="s">
        <v>80</v>
      </c>
      <c r="Z67" s="112">
        <v>0.0</v>
      </c>
    </row>
    <row r="68" ht="12.75" customHeight="1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12" t="s">
        <v>239</v>
      </c>
      <c r="W68" s="112">
        <v>0.0</v>
      </c>
      <c r="X68" s="112"/>
      <c r="Y68" s="112" t="s">
        <v>102</v>
      </c>
      <c r="Z68" s="112">
        <v>1.0</v>
      </c>
    </row>
    <row r="69" ht="12.75" customHeight="1">
      <c r="A69" s="104" t="s">
        <v>135</v>
      </c>
      <c r="B69" s="104"/>
      <c r="C69" s="104"/>
      <c r="D69" s="104" t="s">
        <v>271</v>
      </c>
      <c r="E69" s="104"/>
      <c r="F69" s="104"/>
      <c r="G69" s="104" t="s">
        <v>272</v>
      </c>
      <c r="H69" s="104"/>
      <c r="I69" s="104"/>
      <c r="J69" s="104" t="s">
        <v>273</v>
      </c>
      <c r="K69" s="104"/>
      <c r="L69" s="104"/>
      <c r="M69" s="104" t="s">
        <v>274</v>
      </c>
      <c r="N69" s="104"/>
      <c r="O69" s="104"/>
      <c r="P69" s="104" t="s">
        <v>275</v>
      </c>
      <c r="Q69" s="104"/>
      <c r="R69" s="104"/>
      <c r="S69" s="104" t="s">
        <v>276</v>
      </c>
      <c r="T69" s="104"/>
      <c r="U69" s="104"/>
      <c r="V69" s="112" t="s">
        <v>257</v>
      </c>
      <c r="W69" s="112">
        <v>13.0</v>
      </c>
      <c r="X69" s="112"/>
      <c r="Y69" s="112" t="s">
        <v>115</v>
      </c>
      <c r="Z69" s="112">
        <v>12.0</v>
      </c>
    </row>
    <row r="70" ht="12.75" customHeight="1">
      <c r="A70" s="104"/>
      <c r="B70" s="104"/>
      <c r="C70" s="104"/>
      <c r="D70" s="104"/>
      <c r="E70" s="104"/>
      <c r="F70" s="104"/>
      <c r="G70" s="104"/>
      <c r="H70" s="104"/>
      <c r="I70" s="104"/>
      <c r="J70" s="104" t="s">
        <v>277</v>
      </c>
      <c r="K70" s="104"/>
      <c r="L70" s="104"/>
      <c r="M70" s="104" t="s">
        <v>95</v>
      </c>
      <c r="N70" s="104"/>
      <c r="O70" s="104"/>
      <c r="P70" s="104"/>
      <c r="Q70" s="104"/>
      <c r="R70" s="104"/>
      <c r="S70" s="104"/>
      <c r="T70" s="104"/>
      <c r="U70" s="104"/>
      <c r="V70" s="112" t="s">
        <v>269</v>
      </c>
      <c r="W70" s="112">
        <v>4.0</v>
      </c>
      <c r="X70" s="112"/>
      <c r="Y70" s="112" t="s">
        <v>134</v>
      </c>
      <c r="Z70" s="112">
        <v>4.0</v>
      </c>
    </row>
    <row r="71" ht="12.75" customHeight="1">
      <c r="A71" s="104"/>
      <c r="B71" s="104"/>
      <c r="C71" s="104"/>
      <c r="D71" s="104"/>
      <c r="E71" s="104"/>
      <c r="F71" s="104"/>
      <c r="G71" s="118"/>
      <c r="H71" s="104"/>
      <c r="I71" s="104"/>
      <c r="J71" s="118"/>
      <c r="K71" s="104"/>
      <c r="L71" s="104"/>
      <c r="M71" s="118"/>
      <c r="N71" s="104"/>
      <c r="O71" s="104"/>
      <c r="P71" s="118"/>
      <c r="Q71" s="104"/>
      <c r="R71" s="104"/>
      <c r="S71" s="118"/>
      <c r="T71" s="104"/>
      <c r="U71" s="104"/>
      <c r="V71" s="112"/>
      <c r="W71" s="112">
        <v>46.0</v>
      </c>
      <c r="X71" s="112"/>
      <c r="Y71" s="112"/>
      <c r="Z71" s="112">
        <v>33.0</v>
      </c>
    </row>
    <row r="72" ht="12.75" customHeight="1">
      <c r="A72" s="104" t="s">
        <v>143</v>
      </c>
      <c r="B72" s="104"/>
      <c r="C72" s="104"/>
      <c r="D72" s="108"/>
      <c r="E72" s="112"/>
      <c r="F72" s="104"/>
      <c r="G72" s="108"/>
      <c r="H72" s="108"/>
      <c r="I72" s="112"/>
      <c r="J72" s="108"/>
      <c r="K72" s="104"/>
      <c r="L72" s="112"/>
      <c r="M72" s="108"/>
      <c r="N72" s="104"/>
      <c r="O72" s="112"/>
      <c r="P72" s="108"/>
      <c r="Q72" s="108"/>
      <c r="R72" s="112"/>
      <c r="S72" s="108"/>
      <c r="T72" s="104"/>
      <c r="U72" s="104"/>
      <c r="V72" s="104"/>
      <c r="W72" s="104"/>
      <c r="X72" s="104"/>
      <c r="Y72" s="104"/>
      <c r="Z72" s="104"/>
    </row>
    <row r="73" ht="12.75" customHeight="1">
      <c r="A73" s="104"/>
      <c r="B73" s="104"/>
      <c r="C73" s="104"/>
      <c r="D73" s="104"/>
      <c r="E73" s="112"/>
      <c r="F73" s="104"/>
      <c r="G73" s="108"/>
      <c r="H73" s="108"/>
      <c r="I73" s="112"/>
      <c r="J73" s="108"/>
      <c r="K73" s="104"/>
      <c r="L73" s="112"/>
      <c r="M73" s="108"/>
      <c r="N73" s="118"/>
      <c r="O73" s="112"/>
      <c r="P73" s="108"/>
      <c r="Q73" s="108"/>
      <c r="R73" s="112"/>
      <c r="S73" s="108"/>
      <c r="T73" s="104"/>
      <c r="U73" s="104"/>
      <c r="V73" s="104"/>
      <c r="W73" s="104"/>
      <c r="X73" s="104"/>
      <c r="Y73" s="104"/>
      <c r="Z73" s="104"/>
    </row>
    <row r="74" ht="12.75" customHeight="1">
      <c r="A74" s="104"/>
      <c r="B74" s="104"/>
      <c r="C74" s="104"/>
      <c r="D74" s="104"/>
      <c r="E74" s="112"/>
      <c r="F74" s="104"/>
      <c r="G74" s="108"/>
      <c r="H74" s="108"/>
      <c r="I74" s="112"/>
      <c r="J74" s="108"/>
      <c r="K74" s="104"/>
      <c r="L74" s="112"/>
      <c r="M74" s="108"/>
      <c r="N74" s="104"/>
      <c r="O74" s="112"/>
      <c r="P74" s="108"/>
      <c r="Q74" s="108"/>
      <c r="R74" s="112"/>
      <c r="S74" s="108"/>
      <c r="T74" s="104"/>
      <c r="U74" s="104"/>
      <c r="V74" s="104"/>
      <c r="W74" s="104"/>
      <c r="X74" s="104"/>
      <c r="Y74" s="104"/>
      <c r="Z74" s="104"/>
    </row>
    <row r="75" ht="12.75" customHeight="1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12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ht="12.75" customHeight="1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ht="12.75" customHeight="1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ht="12.75" customHeight="1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ht="12.75" customHeight="1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ht="12.75" customHeight="1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ht="12.75" customHeight="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ht="12.75" customHeight="1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ht="12.75" customHeight="1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ht="12.75" customHeight="1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ht="12.75" customHeight="1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ht="12.75" customHeight="1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ht="12.75" customHeight="1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ht="12.75" customHeight="1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ht="12.75" customHeight="1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ht="12.75" customHeight="1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ht="12.75" customHeight="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ht="12.75" customHeight="1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ht="12.75" customHeight="1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ht="12.75" customHeight="1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ht="12.75" customHeight="1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ht="12.75" customHeight="1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ht="12.75" customHeight="1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ht="12.75" customHeight="1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ht="12.75" customHeight="1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ht="12.75" customHeight="1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ht="12.75" customHeight="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ht="12.75" customHeight="1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ht="12.75" customHeight="1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ht="12.75" customHeight="1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ht="12.75" customHeight="1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ht="12.75" customHeight="1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ht="12.75" customHeight="1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ht="12.75" customHeight="1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ht="12.75" customHeight="1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ht="12.75" customHeight="1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ht="12.75" customHeight="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ht="12.75" customHeight="1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ht="12.75" customHeight="1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ht="12.75" customHeight="1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ht="12.75" customHeight="1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ht="12.75" customHeight="1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ht="12.75" customHeight="1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ht="12.75" customHeight="1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ht="12.75" customHeight="1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ht="12.75" customHeight="1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ht="12.75" customHeight="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ht="12.75" customHeight="1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ht="12.75" customHeight="1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ht="12.75" customHeight="1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ht="12.75" customHeight="1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ht="12.75" customHeight="1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ht="12.75" customHeight="1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ht="12.75" customHeight="1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ht="12.75" customHeight="1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ht="12.75" customHeight="1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ht="12.75" customHeight="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ht="12.75" customHeight="1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ht="12.75" customHeight="1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ht="12.75" customHeight="1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ht="12.75" customHeight="1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ht="12.75" customHeight="1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ht="12.75" customHeight="1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ht="12.75" customHeight="1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ht="12.75" customHeight="1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ht="12.75" customHeight="1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ht="12.75" customHeight="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ht="12.75" customHeight="1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ht="12.75" customHeight="1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ht="12.75" customHeight="1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ht="12.75" customHeight="1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ht="12.75" customHeight="1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ht="12.75" customHeight="1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ht="12.75" customHeight="1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ht="12.75" customHeight="1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ht="12.75" customHeight="1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ht="12.75" customHeight="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ht="12.75" customHeight="1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ht="12.75" customHeight="1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ht="12.75" customHeight="1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ht="12.75" customHeight="1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ht="12.75" customHeight="1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ht="12.75" customHeight="1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ht="12.75" customHeight="1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ht="12.75" customHeight="1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ht="12.75" customHeight="1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ht="12.75" customHeight="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ht="12.75" customHeight="1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ht="12.75" customHeight="1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ht="12.75" customHeight="1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ht="12.75" customHeight="1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ht="12.75" customHeight="1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ht="12.75" customHeight="1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ht="12.75" customHeight="1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ht="12.75" customHeight="1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ht="12.75" customHeight="1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ht="12.75" customHeight="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ht="12.75" customHeight="1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ht="12.75" customHeight="1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ht="12.75" customHeight="1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ht="12.75" customHeight="1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ht="12.75" customHeight="1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ht="12.75" customHeight="1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ht="12.75" customHeight="1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ht="12.75" customHeight="1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ht="12.75" customHeight="1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ht="12.75" customHeight="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ht="12.75" customHeight="1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ht="12.75" customHeight="1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ht="12.75" customHeight="1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ht="12.75" customHeight="1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ht="12.75" customHeight="1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ht="12.75" customHeight="1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ht="12.75" customHeight="1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ht="12.75" customHeight="1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ht="12.75" customHeight="1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ht="12.75" customHeight="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ht="12.75" customHeight="1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ht="12.75" customHeight="1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ht="12.75" customHeight="1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ht="12.75" customHeight="1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ht="12.75" customHeight="1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ht="12.75" customHeight="1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ht="12.75" customHeight="1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ht="12.75" customHeight="1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ht="12.75" customHeight="1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ht="12.75" customHeight="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ht="12.75" customHeight="1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ht="12.75" customHeight="1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ht="12.75" customHeight="1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ht="12.75" customHeight="1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ht="12.75" customHeight="1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ht="12.75" customHeight="1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ht="12.75" customHeight="1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ht="12.75" customHeight="1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ht="12.75" customHeight="1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ht="12.75" customHeight="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ht="12.75" customHeight="1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ht="12.75" customHeight="1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ht="12.75" customHeight="1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ht="12.75" customHeight="1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ht="12.75" customHeight="1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ht="12.75" customHeight="1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ht="12.75" customHeight="1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ht="12.75" customHeight="1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ht="12.75" customHeight="1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ht="12.75" customHeight="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ht="12.75" customHeight="1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ht="12.75" customHeight="1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ht="12.75" customHeight="1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ht="12.75" customHeight="1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ht="12.75" customHeight="1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ht="12.75" customHeight="1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ht="12.75" customHeight="1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ht="12.75" customHeight="1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ht="12.75" customHeight="1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ht="12.75" customHeight="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ht="12.75" customHeight="1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ht="12.75" customHeight="1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ht="12.75" customHeight="1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ht="12.75" customHeight="1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ht="12.75" customHeight="1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ht="12.75" customHeight="1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ht="12.75" customHeight="1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ht="12.75" customHeight="1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ht="12.75" customHeight="1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ht="12.75" customHeight="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ht="12.75" customHeight="1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ht="12.75" customHeight="1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ht="12.75" customHeight="1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ht="12.75" customHeight="1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ht="12.75" customHeight="1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ht="12.75" customHeight="1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ht="12.75" customHeight="1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ht="12.75" customHeight="1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ht="12.75" customHeight="1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ht="12.75" customHeight="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ht="12.75" customHeight="1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ht="12.75" customHeight="1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ht="12.75" customHeight="1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ht="12.75" customHeight="1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ht="12.75" customHeight="1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ht="12.75" customHeight="1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ht="12.75" customHeight="1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ht="12.75" customHeight="1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ht="12.75" customHeight="1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ht="12.75" customHeight="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ht="12.75" customHeight="1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ht="12.75" customHeight="1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ht="12.75" customHeight="1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ht="12.75" customHeight="1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ht="12.75" customHeight="1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ht="12.75" customHeight="1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ht="12.75" customHeight="1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ht="12.75" customHeight="1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ht="12.75" customHeight="1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ht="12.75" customHeight="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ht="12.75" customHeight="1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ht="12.75" customHeight="1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ht="12.75" customHeight="1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ht="12.75" customHeight="1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ht="12.75" customHeight="1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ht="12.75" customHeight="1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ht="12.75" customHeight="1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ht="12.75" customHeight="1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ht="12.75" customHeight="1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ht="12.75" customHeight="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ht="12.75" customHeight="1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ht="12.75" customHeight="1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ht="12.75" customHeight="1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ht="12.75" customHeight="1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ht="12.75" customHeight="1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ht="12.75" customHeight="1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ht="12.75" customHeight="1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ht="12.75" customHeight="1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ht="12.75" customHeight="1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ht="12.75" customHeight="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ht="12.75" customHeight="1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ht="12.75" customHeight="1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ht="12.75" customHeight="1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ht="12.75" customHeight="1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ht="12.75" customHeight="1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ht="12.75" customHeight="1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ht="12.75" customHeight="1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ht="12.75" customHeight="1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ht="12.75" customHeight="1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ht="12.75" customHeight="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ht="12.75" customHeight="1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ht="12.75" customHeight="1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ht="12.75" customHeight="1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ht="12.75" customHeight="1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ht="12.75" customHeight="1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ht="12.75" customHeight="1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ht="12.75" customHeight="1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ht="12.75" customHeight="1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ht="12.75" customHeight="1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ht="12.75" customHeight="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ht="12.75" customHeight="1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ht="12.75" customHeight="1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ht="12.75" customHeight="1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ht="12.75" customHeight="1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ht="12.75" customHeight="1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ht="12.75" customHeight="1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ht="12.75" customHeight="1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ht="12.75" customHeight="1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ht="12.75" customHeight="1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ht="12.75" customHeight="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ht="12.75" customHeight="1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ht="12.75" customHeight="1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ht="12.75" customHeight="1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ht="12.75" customHeight="1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ht="12.75" customHeight="1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ht="12.75" customHeight="1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ht="12.75" customHeight="1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ht="12.75" customHeight="1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ht="12.75" customHeight="1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ht="12.75" customHeight="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ht="12.75" customHeight="1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ht="12.75" customHeight="1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ht="12.75" customHeight="1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ht="12.75" customHeight="1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ht="12.75" customHeight="1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ht="12.75" customHeight="1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ht="12.75" customHeight="1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ht="12.75" customHeight="1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ht="12.75" customHeight="1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ht="12.75" customHeight="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ht="12.75" customHeight="1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ht="12.75" customHeight="1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ht="12.75" customHeight="1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ht="12.75" customHeight="1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ht="12.75" customHeight="1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ht="12.75" customHeight="1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ht="12.75" customHeight="1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ht="12.75" customHeight="1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ht="12.75" customHeight="1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ht="12.75" customHeight="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ht="12.75" customHeight="1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ht="12.75" customHeight="1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ht="12.75" customHeight="1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ht="12.75" customHeight="1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ht="12.75" customHeight="1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ht="12.75" customHeight="1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ht="12.75" customHeight="1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ht="12.75" customHeight="1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ht="12.75" customHeight="1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ht="12.75" customHeight="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ht="12.75" customHeight="1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ht="12.75" customHeight="1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ht="12.75" customHeight="1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ht="12.75" customHeight="1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ht="12.75" customHeight="1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ht="12.75" customHeight="1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ht="12.75" customHeight="1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ht="12.75" customHeight="1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ht="12.75" customHeight="1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ht="12.75" customHeight="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ht="12.75" customHeight="1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ht="12.75" customHeight="1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ht="12.75" customHeight="1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ht="12.75" customHeight="1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ht="12.75" customHeight="1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ht="12.75" customHeight="1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ht="12.75" customHeight="1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ht="12.75" customHeight="1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ht="12.75" customHeight="1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ht="12.75" customHeight="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ht="12.75" customHeight="1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ht="12.75" customHeight="1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ht="12.75" customHeight="1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ht="12.75" customHeight="1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ht="12.75" customHeight="1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ht="12.75" customHeight="1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ht="12.75" customHeight="1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ht="12.75" customHeight="1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ht="12.75" customHeight="1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ht="12.75" customHeight="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ht="12.75" customHeight="1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ht="12.75" customHeight="1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ht="12.75" customHeight="1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ht="12.75" customHeight="1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ht="12.75" customHeight="1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ht="12.75" customHeight="1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ht="12.75" customHeight="1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ht="12.75" customHeight="1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ht="12.75" customHeight="1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ht="12.75" customHeight="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ht="12.75" customHeight="1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ht="12.75" customHeight="1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ht="12.75" customHeight="1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ht="12.75" customHeight="1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ht="12.75" customHeight="1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ht="12.75" customHeight="1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ht="12.75" customHeight="1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ht="12.75" customHeight="1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ht="12.75" customHeight="1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ht="12.75" customHeight="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ht="12.75" customHeight="1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ht="12.75" customHeight="1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ht="12.75" customHeight="1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ht="12.75" customHeight="1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ht="12.75" customHeight="1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ht="12.75" customHeight="1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ht="12.75" customHeight="1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ht="12.75" customHeight="1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ht="12.75" customHeight="1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ht="12.75" customHeight="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ht="12.75" customHeight="1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ht="12.75" customHeight="1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ht="12.75" customHeight="1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ht="12.75" customHeight="1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ht="12.75" customHeight="1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ht="12.75" customHeight="1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ht="12.75" customHeight="1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ht="12.75" customHeight="1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ht="12.75" customHeight="1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ht="12.75" customHeight="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ht="12.75" customHeight="1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ht="12.75" customHeight="1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ht="12.75" customHeight="1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ht="12.75" customHeight="1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ht="12.75" customHeight="1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ht="12.75" customHeight="1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ht="12.75" customHeight="1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ht="12.75" customHeight="1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ht="12.75" customHeight="1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ht="12.75" customHeight="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ht="12.75" customHeight="1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ht="12.75" customHeight="1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ht="12.75" customHeight="1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ht="12.75" customHeight="1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ht="12.75" customHeight="1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ht="12.75" customHeight="1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ht="12.75" customHeight="1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ht="12.75" customHeight="1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ht="12.75" customHeight="1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ht="12.75" customHeight="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ht="12.75" customHeight="1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ht="12.75" customHeight="1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ht="12.75" customHeight="1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ht="12.75" customHeight="1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ht="12.75" customHeight="1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ht="12.75" customHeight="1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ht="12.75" customHeight="1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ht="12.75" customHeight="1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ht="12.75" customHeight="1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ht="12.75" customHeight="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ht="12.75" customHeight="1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ht="12.75" customHeight="1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ht="12.75" customHeight="1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ht="12.75" customHeight="1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ht="12.75" customHeight="1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ht="12.75" customHeight="1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ht="12.75" customHeight="1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ht="12.75" customHeight="1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ht="12.75" customHeight="1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ht="12.75" customHeight="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ht="12.75" customHeight="1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ht="12.75" customHeight="1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ht="12.75" customHeight="1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ht="12.75" customHeight="1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ht="12.75" customHeight="1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ht="12.75" customHeight="1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ht="12.75" customHeight="1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ht="12.75" customHeight="1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ht="12.75" customHeight="1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ht="12.75" customHeight="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ht="12.75" customHeight="1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ht="12.75" customHeight="1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ht="12.75" customHeight="1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ht="12.75" customHeight="1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ht="12.75" customHeight="1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ht="12.75" customHeight="1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ht="12.75" customHeight="1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ht="12.75" customHeight="1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ht="12.75" customHeight="1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ht="12.75" customHeight="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ht="12.75" customHeight="1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ht="12.75" customHeight="1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ht="12.75" customHeight="1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ht="12.75" customHeight="1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ht="12.75" customHeight="1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ht="12.75" customHeight="1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ht="12.75" customHeight="1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ht="12.75" customHeight="1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ht="12.75" customHeight="1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ht="12.75" customHeight="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ht="12.75" customHeight="1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ht="12.75" customHeight="1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ht="12.75" customHeight="1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ht="12.75" customHeight="1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ht="12.75" customHeight="1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ht="12.75" customHeight="1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ht="12.75" customHeight="1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ht="12.75" customHeight="1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ht="12.75" customHeight="1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ht="12.75" customHeight="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ht="12.75" customHeight="1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ht="12.75" customHeight="1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ht="12.75" customHeight="1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ht="12.75" customHeight="1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ht="12.75" customHeight="1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ht="12.75" customHeight="1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ht="12.75" customHeight="1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ht="12.75" customHeight="1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ht="12.75" customHeight="1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ht="12.75" customHeight="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ht="12.75" customHeight="1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ht="12.75" customHeight="1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ht="12.75" customHeight="1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ht="12.75" customHeight="1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ht="12.75" customHeight="1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ht="12.75" customHeight="1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ht="12.75" customHeight="1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ht="12.75" customHeight="1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ht="12.75" customHeight="1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ht="12.75" customHeight="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ht="12.75" customHeight="1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ht="12.75" customHeight="1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ht="12.75" customHeight="1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ht="12.75" customHeight="1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ht="12.75" customHeight="1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ht="12.75" customHeight="1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ht="12.75" customHeight="1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ht="12.75" customHeight="1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ht="12.75" customHeight="1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ht="12.75" customHeight="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ht="12.75" customHeight="1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ht="12.75" customHeight="1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ht="12.75" customHeight="1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ht="12.75" customHeight="1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ht="12.75" customHeight="1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ht="12.75" customHeight="1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ht="12.75" customHeight="1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ht="12.75" customHeight="1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ht="12.75" customHeight="1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ht="12.75" customHeight="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ht="12.75" customHeight="1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ht="12.75" customHeight="1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ht="12.75" customHeight="1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ht="12.75" customHeight="1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ht="12.75" customHeight="1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ht="12.75" customHeight="1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ht="12.75" customHeight="1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ht="12.75" customHeight="1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ht="12.75" customHeight="1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ht="12.75" customHeight="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ht="12.75" customHeight="1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ht="12.75" customHeight="1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ht="12.75" customHeight="1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ht="12.75" customHeight="1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ht="12.75" customHeight="1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ht="12.75" customHeight="1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ht="12.75" customHeight="1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ht="12.75" customHeight="1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ht="12.75" customHeight="1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ht="12.75" customHeight="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ht="12.75" customHeight="1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ht="12.75" customHeight="1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ht="12.75" customHeight="1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ht="12.75" customHeight="1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ht="12.75" customHeight="1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ht="12.75" customHeight="1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ht="12.75" customHeight="1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ht="12.75" customHeight="1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ht="12.75" customHeight="1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ht="12.75" customHeight="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ht="12.75" customHeight="1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ht="12.75" customHeight="1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ht="12.75" customHeight="1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ht="12.75" customHeight="1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ht="12.75" customHeight="1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ht="12.75" customHeight="1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ht="12.75" customHeight="1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ht="12.75" customHeight="1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ht="12.75" customHeight="1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ht="12.75" customHeight="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ht="12.75" customHeight="1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ht="12.75" customHeight="1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ht="12.75" customHeight="1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ht="12.75" customHeight="1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ht="12.75" customHeight="1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ht="12.75" customHeight="1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ht="12.75" customHeight="1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ht="12.75" customHeight="1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ht="12.75" customHeight="1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ht="12.75" customHeight="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ht="12.75" customHeight="1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ht="12.75" customHeight="1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ht="12.75" customHeight="1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ht="12.75" customHeight="1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ht="12.75" customHeight="1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ht="12.75" customHeight="1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ht="12.75" customHeight="1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ht="12.75" customHeight="1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ht="12.75" customHeight="1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ht="12.75" customHeight="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ht="12.75" customHeight="1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ht="12.75" customHeight="1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ht="12.75" customHeight="1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ht="12.75" customHeight="1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ht="12.75" customHeight="1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ht="12.75" customHeight="1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ht="12.75" customHeight="1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ht="12.75" customHeight="1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ht="12.75" customHeight="1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ht="12.75" customHeight="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ht="12.75" customHeight="1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ht="12.75" customHeight="1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ht="12.75" customHeight="1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ht="12.75" customHeight="1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ht="12.75" customHeight="1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ht="12.75" customHeight="1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ht="12.75" customHeight="1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ht="12.75" customHeight="1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ht="12.75" customHeight="1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ht="12.75" customHeight="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ht="12.75" customHeight="1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ht="12.75" customHeight="1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ht="12.75" customHeight="1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ht="12.75" customHeight="1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ht="12.75" customHeight="1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ht="12.75" customHeight="1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ht="12.75" customHeight="1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ht="12.75" customHeight="1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ht="12.75" customHeight="1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ht="12.75" customHeight="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ht="12.75" customHeight="1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ht="12.75" customHeight="1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ht="12.75" customHeight="1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ht="12.75" customHeight="1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ht="12.75" customHeight="1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ht="12.75" customHeight="1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ht="12.75" customHeight="1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ht="12.75" customHeight="1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ht="12.75" customHeight="1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ht="12.75" customHeight="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ht="12.75" customHeight="1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ht="12.75" customHeight="1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ht="12.75" customHeight="1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ht="12.75" customHeight="1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ht="12.75" customHeight="1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ht="12.75" customHeight="1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ht="12.75" customHeight="1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ht="12.75" customHeight="1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ht="12.75" customHeight="1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ht="12.75" customHeight="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ht="12.75" customHeight="1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ht="12.75" customHeight="1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ht="12.75" customHeight="1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ht="12.75" customHeight="1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ht="12.75" customHeight="1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ht="12.75" customHeight="1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ht="12.75" customHeight="1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ht="12.75" customHeight="1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ht="12.75" customHeight="1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ht="12.75" customHeight="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ht="12.75" customHeight="1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ht="12.75" customHeight="1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ht="12.75" customHeight="1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ht="12.75" customHeight="1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ht="12.75" customHeight="1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ht="12.75" customHeight="1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ht="12.75" customHeight="1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ht="12.75" customHeight="1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ht="12.75" customHeight="1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ht="12.75" customHeight="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ht="12.75" customHeight="1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ht="12.75" customHeight="1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ht="12.75" customHeight="1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ht="12.75" customHeight="1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ht="12.75" customHeight="1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ht="12.75" customHeight="1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ht="12.75" customHeight="1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ht="12.75" customHeight="1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ht="12.75" customHeight="1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ht="12.75" customHeight="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ht="12.75" customHeight="1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ht="12.75" customHeight="1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ht="12.75" customHeight="1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ht="12.75" customHeight="1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ht="12.75" customHeight="1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ht="12.75" customHeight="1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ht="12.75" customHeight="1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ht="12.75" customHeight="1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ht="12.75" customHeight="1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ht="12.75" customHeight="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ht="12.75" customHeight="1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ht="12.75" customHeight="1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ht="12.75" customHeight="1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ht="12.75" customHeight="1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ht="12.75" customHeight="1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ht="12.75" customHeight="1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ht="12.75" customHeight="1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ht="12.75" customHeight="1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ht="12.75" customHeight="1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ht="12.75" customHeight="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ht="12.75" customHeight="1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ht="12.75" customHeight="1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ht="12.75" customHeight="1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ht="12.75" customHeight="1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ht="12.75" customHeight="1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ht="12.75" customHeight="1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ht="12.75" customHeight="1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ht="12.75" customHeight="1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ht="12.75" customHeight="1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ht="12.75" customHeight="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ht="12.75" customHeight="1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ht="12.75" customHeight="1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ht="12.75" customHeight="1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ht="12.75" customHeight="1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ht="12.75" customHeight="1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ht="12.75" customHeight="1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ht="12.75" customHeight="1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ht="12.75" customHeight="1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ht="12.75" customHeight="1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ht="12.75" customHeight="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ht="12.75" customHeight="1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ht="12.75" customHeight="1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ht="12.75" customHeight="1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ht="12.75" customHeight="1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ht="12.75" customHeight="1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ht="12.75" customHeight="1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ht="12.75" customHeight="1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ht="12.75" customHeight="1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ht="12.75" customHeight="1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ht="12.75" customHeight="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ht="12.75" customHeight="1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ht="12.75" customHeight="1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ht="12.75" customHeight="1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ht="12.75" customHeight="1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ht="12.75" customHeight="1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ht="12.75" customHeight="1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ht="12.75" customHeight="1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ht="12.75" customHeight="1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ht="12.75" customHeight="1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ht="12.75" customHeight="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ht="12.75" customHeight="1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ht="12.75" customHeight="1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ht="12.75" customHeight="1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ht="12.75" customHeight="1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ht="12.75" customHeight="1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ht="12.75" customHeight="1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ht="12.75" customHeight="1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ht="12.75" customHeight="1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ht="12.75" customHeight="1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ht="12.75" customHeight="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ht="12.75" customHeight="1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ht="12.75" customHeight="1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ht="12.75" customHeight="1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ht="12.75" customHeight="1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ht="12.75" customHeight="1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ht="12.75" customHeight="1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ht="12.75" customHeight="1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ht="12.75" customHeight="1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ht="12.75" customHeight="1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ht="12.75" customHeight="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ht="12.75" customHeight="1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ht="12.75" customHeight="1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ht="12.75" customHeight="1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ht="12.75" customHeight="1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ht="12.75" customHeight="1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ht="12.75" customHeight="1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ht="12.75" customHeight="1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ht="12.75" customHeight="1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ht="12.75" customHeight="1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ht="12.75" customHeight="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ht="12.75" customHeight="1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ht="12.75" customHeight="1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ht="12.75" customHeight="1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ht="12.75" customHeight="1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ht="12.75" customHeight="1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ht="12.75" customHeight="1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ht="12.75" customHeight="1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ht="12.75" customHeight="1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ht="12.75" customHeight="1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ht="12.75" customHeight="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ht="12.75" customHeight="1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ht="12.75" customHeight="1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ht="12.75" customHeight="1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ht="12.75" customHeight="1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ht="12.75" customHeight="1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ht="12.75" customHeight="1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ht="12.75" customHeight="1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ht="12.75" customHeight="1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ht="12.75" customHeight="1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ht="12.75" customHeight="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ht="12.75" customHeight="1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ht="12.75" customHeight="1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ht="12.75" customHeight="1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ht="12.75" customHeight="1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ht="12.75" customHeight="1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ht="12.75" customHeight="1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ht="12.75" customHeight="1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ht="12.75" customHeight="1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ht="12.75" customHeight="1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ht="12.75" customHeight="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ht="12.75" customHeight="1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ht="12.75" customHeight="1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ht="12.75" customHeight="1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ht="12.75" customHeight="1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ht="12.75" customHeight="1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ht="12.75" customHeight="1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ht="12.75" customHeight="1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ht="12.75" customHeight="1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ht="12.75" customHeight="1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ht="12.75" customHeight="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ht="12.75" customHeight="1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ht="12.75" customHeight="1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ht="12.75" customHeight="1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ht="12.75" customHeight="1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ht="12.75" customHeight="1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ht="12.75" customHeight="1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ht="12.75" customHeight="1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ht="12.75" customHeight="1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ht="12.75" customHeight="1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ht="12.75" customHeight="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ht="12.75" customHeight="1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ht="12.75" customHeight="1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ht="12.75" customHeight="1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ht="12.75" customHeight="1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ht="12.75" customHeight="1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ht="12.75" customHeight="1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ht="12.75" customHeight="1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ht="12.75" customHeight="1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ht="12.75" customHeight="1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ht="12.75" customHeight="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ht="12.75" customHeight="1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ht="12.75" customHeight="1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ht="12.75" customHeight="1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ht="12.75" customHeight="1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ht="12.75" customHeight="1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ht="12.75" customHeight="1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ht="12.75" customHeight="1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ht="12.75" customHeight="1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ht="12.75" customHeight="1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ht="12.75" customHeight="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ht="12.75" customHeight="1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ht="12.75" customHeight="1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ht="12.75" customHeight="1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ht="12.75" customHeight="1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ht="12.75" customHeight="1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ht="12.75" customHeight="1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ht="12.75" customHeight="1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ht="12.75" customHeight="1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ht="12.75" customHeight="1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ht="12.75" customHeight="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ht="12.75" customHeight="1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ht="12.75" customHeight="1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ht="12.75" customHeight="1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ht="12.75" customHeight="1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ht="12.75" customHeight="1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ht="12.75" customHeight="1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ht="12.75" customHeight="1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ht="12.75" customHeight="1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ht="12.75" customHeight="1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ht="12.75" customHeight="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ht="12.75" customHeight="1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ht="12.75" customHeight="1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ht="12.75" customHeight="1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ht="12.75" customHeight="1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ht="12.75" customHeight="1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ht="12.75" customHeight="1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ht="12.75" customHeight="1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ht="12.75" customHeight="1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ht="12.75" customHeight="1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ht="12.75" customHeight="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ht="12.75" customHeight="1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ht="12.75" customHeight="1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ht="12.75" customHeight="1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ht="12.75" customHeight="1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ht="12.75" customHeight="1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ht="12.75" customHeight="1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ht="12.75" customHeight="1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ht="12.75" customHeight="1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ht="12.75" customHeight="1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ht="12.75" customHeight="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ht="12.75" customHeight="1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ht="12.75" customHeight="1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ht="12.75" customHeight="1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ht="12.75" customHeight="1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ht="12.75" customHeight="1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ht="12.75" customHeight="1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ht="12.75" customHeight="1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ht="12.75" customHeight="1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ht="12.75" customHeight="1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ht="12.75" customHeight="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ht="12.75" customHeight="1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ht="12.75" customHeight="1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ht="12.75" customHeight="1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ht="12.75" customHeight="1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ht="12.75" customHeight="1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ht="12.75" customHeight="1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ht="12.75" customHeight="1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ht="12.75" customHeight="1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ht="12.75" customHeight="1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ht="12.75" customHeight="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ht="12.75" customHeight="1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ht="12.75" customHeight="1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ht="12.75" customHeight="1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ht="12.75" customHeight="1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ht="12.75" customHeight="1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ht="12.75" customHeight="1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ht="12.75" customHeight="1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ht="12.75" customHeight="1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ht="12.75" customHeight="1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ht="12.75" customHeight="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ht="12.75" customHeight="1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ht="12.75" customHeight="1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ht="12.75" customHeight="1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ht="12.75" customHeight="1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ht="12.75" customHeight="1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ht="12.75" customHeight="1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ht="12.75" customHeight="1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ht="12.75" customHeight="1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ht="12.75" customHeight="1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ht="12.75" customHeight="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ht="12.75" customHeight="1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ht="12.75" customHeight="1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ht="12.75" customHeight="1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ht="12.75" customHeight="1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ht="12.75" customHeight="1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ht="12.75" customHeight="1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ht="12.75" customHeight="1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ht="12.75" customHeight="1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ht="12.75" customHeight="1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ht="12.75" customHeight="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ht="12.75" customHeight="1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ht="12.75" customHeight="1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ht="12.75" customHeight="1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ht="12.75" customHeight="1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ht="12.75" customHeight="1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ht="12.75" customHeight="1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ht="12.75" customHeight="1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ht="12.75" customHeight="1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ht="12.75" customHeight="1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ht="12.75" customHeight="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ht="12.75" customHeight="1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ht="12.75" customHeight="1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ht="12.75" customHeight="1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ht="12.75" customHeight="1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ht="12.75" customHeight="1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ht="12.75" customHeight="1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ht="12.75" customHeight="1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ht="12.75" customHeight="1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ht="12.75" customHeight="1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ht="12.75" customHeight="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ht="12.75" customHeight="1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ht="12.75" customHeight="1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ht="12.75" customHeight="1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ht="12.75" customHeight="1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ht="12.75" customHeight="1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ht="12.75" customHeight="1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ht="12.75" customHeight="1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ht="12.75" customHeight="1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ht="12.75" customHeight="1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ht="12.75" customHeight="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ht="12.75" customHeight="1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ht="12.75" customHeight="1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ht="12.75" customHeight="1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ht="12.75" customHeight="1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ht="12.75" customHeight="1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ht="12.75" customHeight="1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ht="12.75" customHeight="1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ht="12.75" customHeight="1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ht="12.75" customHeight="1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ht="12.75" customHeight="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ht="12.75" customHeight="1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ht="12.75" customHeight="1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ht="12.75" customHeight="1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ht="12.75" customHeight="1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ht="12.75" customHeight="1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ht="12.75" customHeight="1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ht="12.75" customHeight="1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ht="12.75" customHeight="1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ht="12.75" customHeight="1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ht="12.75" customHeight="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ht="12.75" customHeight="1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ht="12.75" customHeight="1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ht="12.75" customHeight="1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ht="12.75" customHeight="1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ht="12.75" customHeight="1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ht="12.75" customHeight="1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ht="12.75" customHeight="1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ht="12.75" customHeight="1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  <row r="1000" ht="12.75" customHeight="1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1.29"/>
    <col customWidth="1" min="23" max="23" width="4.0"/>
    <col customWidth="1" min="24" max="24" width="3.0"/>
    <col customWidth="1" min="25" max="25" width="24.0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8" t="s">
        <v>327</v>
      </c>
      <c r="W1" s="99"/>
      <c r="X1" s="98"/>
      <c r="Y1" s="98" t="s">
        <v>321</v>
      </c>
      <c r="Z1" s="99"/>
    </row>
    <row r="2" ht="12.75" customHeight="1">
      <c r="A2" s="9" t="s">
        <v>6</v>
      </c>
      <c r="B2" s="10" t="s">
        <v>345</v>
      </c>
      <c r="C2" s="14"/>
      <c r="D2" s="9" t="s">
        <v>7</v>
      </c>
      <c r="E2" s="10" t="s">
        <v>345</v>
      </c>
      <c r="F2" s="14"/>
      <c r="G2" s="12" t="s">
        <v>8</v>
      </c>
      <c r="H2" s="10">
        <v>21.0</v>
      </c>
      <c r="I2" s="14" t="s">
        <v>9</v>
      </c>
      <c r="J2" s="1" t="s">
        <v>10</v>
      </c>
      <c r="K2" s="10">
        <v>12.0</v>
      </c>
      <c r="L2" s="14" t="s">
        <v>9</v>
      </c>
      <c r="M2" s="5" t="s">
        <v>11</v>
      </c>
      <c r="N2" s="10">
        <v>19.0</v>
      </c>
      <c r="O2" s="14" t="s">
        <v>9</v>
      </c>
      <c r="P2" s="1" t="s">
        <v>12</v>
      </c>
      <c r="Q2" s="10">
        <v>14.0</v>
      </c>
      <c r="R2" s="14" t="s">
        <v>9</v>
      </c>
      <c r="S2" s="5" t="s">
        <v>13</v>
      </c>
      <c r="T2" s="9"/>
      <c r="U2" s="9"/>
      <c r="V2" s="100" t="s">
        <v>154</v>
      </c>
      <c r="W2" s="101">
        <v>4.0</v>
      </c>
      <c r="X2" s="100"/>
      <c r="Y2" s="100" t="s">
        <v>11</v>
      </c>
      <c r="Z2" s="101">
        <v>12.0</v>
      </c>
    </row>
    <row r="3" ht="12.75" customHeight="1">
      <c r="A3" s="9"/>
      <c r="B3" s="10">
        <v>21.0</v>
      </c>
      <c r="C3" s="14" t="s">
        <v>9</v>
      </c>
      <c r="D3" s="1" t="s">
        <v>14</v>
      </c>
      <c r="E3" s="10">
        <v>12.0</v>
      </c>
      <c r="F3" s="14" t="s">
        <v>9</v>
      </c>
      <c r="G3" s="5" t="s">
        <v>15</v>
      </c>
      <c r="H3" s="10" t="s">
        <v>345</v>
      </c>
      <c r="I3" s="14"/>
      <c r="J3" s="9" t="s">
        <v>16</v>
      </c>
      <c r="K3" s="10" t="s">
        <v>345</v>
      </c>
      <c r="L3" s="14"/>
      <c r="M3" s="9" t="s">
        <v>17</v>
      </c>
      <c r="N3" s="10" t="s">
        <v>345</v>
      </c>
      <c r="O3" s="14"/>
      <c r="P3" s="9" t="s">
        <v>166</v>
      </c>
      <c r="Q3" s="10" t="s">
        <v>345</v>
      </c>
      <c r="R3" s="14"/>
      <c r="S3" s="9" t="s">
        <v>346</v>
      </c>
      <c r="T3" s="9"/>
      <c r="U3" s="9"/>
      <c r="V3" s="100" t="s">
        <v>172</v>
      </c>
      <c r="W3" s="101">
        <v>2.0</v>
      </c>
      <c r="X3" s="100"/>
      <c r="Y3" s="100" t="s">
        <v>30</v>
      </c>
      <c r="Z3" s="101">
        <v>8.0</v>
      </c>
    </row>
    <row r="4" ht="12.75" customHeight="1">
      <c r="A4" s="9"/>
      <c r="B4" s="10" t="s">
        <v>345</v>
      </c>
      <c r="C4" s="14"/>
      <c r="D4" s="12" t="s">
        <v>20</v>
      </c>
      <c r="E4" s="10" t="s">
        <v>345</v>
      </c>
      <c r="F4" s="14"/>
      <c r="G4" s="12" t="s">
        <v>165</v>
      </c>
      <c r="H4" s="10" t="s">
        <v>345</v>
      </c>
      <c r="I4" s="14"/>
      <c r="J4" s="12" t="s">
        <v>22</v>
      </c>
      <c r="K4" s="10" t="s">
        <v>345</v>
      </c>
      <c r="L4" s="14"/>
      <c r="M4" s="12" t="s">
        <v>23</v>
      </c>
      <c r="N4" s="10" t="s">
        <v>345</v>
      </c>
      <c r="O4" s="14"/>
      <c r="P4" s="9" t="s">
        <v>18</v>
      </c>
      <c r="Q4" s="10" t="s">
        <v>345</v>
      </c>
      <c r="R4" s="14"/>
      <c r="S4" s="12" t="s">
        <v>347</v>
      </c>
      <c r="T4" s="9"/>
      <c r="U4" s="9"/>
      <c r="V4" s="100" t="s">
        <v>178</v>
      </c>
      <c r="W4" s="101">
        <v>0.0</v>
      </c>
      <c r="X4" s="100"/>
      <c r="Y4" s="100" t="s">
        <v>48</v>
      </c>
      <c r="Z4" s="101">
        <v>14.0</v>
      </c>
    </row>
    <row r="5" ht="12.75" customHeight="1">
      <c r="A5" s="9"/>
      <c r="B5" s="10"/>
      <c r="C5" s="3"/>
      <c r="D5" s="9"/>
      <c r="E5" s="10"/>
      <c r="F5" s="3"/>
      <c r="G5" s="9"/>
      <c r="H5" s="10" t="s">
        <v>345</v>
      </c>
      <c r="I5" s="3"/>
      <c r="J5" s="9"/>
      <c r="K5" s="10"/>
      <c r="L5" s="3"/>
      <c r="M5" s="9"/>
      <c r="N5" s="10"/>
      <c r="O5" s="3"/>
      <c r="P5" s="9"/>
      <c r="Q5" s="10"/>
      <c r="R5" s="3"/>
      <c r="S5" s="9"/>
      <c r="T5" s="9"/>
      <c r="U5" s="9"/>
      <c r="V5" s="100" t="s">
        <v>196</v>
      </c>
      <c r="W5" s="101">
        <v>0.0</v>
      </c>
      <c r="X5" s="100"/>
      <c r="Y5" s="100" t="s">
        <v>55</v>
      </c>
      <c r="Z5" s="101">
        <v>0.0</v>
      </c>
    </row>
    <row r="6" ht="12.75" customHeight="1">
      <c r="A6" s="9" t="s">
        <v>26</v>
      </c>
      <c r="B6" s="10">
        <v>16.0</v>
      </c>
      <c r="C6" s="14" t="s">
        <v>9</v>
      </c>
      <c r="D6" s="1" t="s">
        <v>27</v>
      </c>
      <c r="E6" s="10">
        <v>8.0</v>
      </c>
      <c r="F6" s="14" t="s">
        <v>9</v>
      </c>
      <c r="G6" s="1" t="s">
        <v>28</v>
      </c>
      <c r="H6" s="10">
        <v>1.0</v>
      </c>
      <c r="I6" s="14" t="s">
        <v>9</v>
      </c>
      <c r="J6" s="5" t="s">
        <v>29</v>
      </c>
      <c r="K6" s="10">
        <v>8.0</v>
      </c>
      <c r="L6" s="14" t="s">
        <v>9</v>
      </c>
      <c r="M6" s="5" t="s">
        <v>30</v>
      </c>
      <c r="N6" s="10">
        <v>10.0</v>
      </c>
      <c r="O6" s="14" t="s">
        <v>9</v>
      </c>
      <c r="P6" s="1" t="s">
        <v>31</v>
      </c>
      <c r="Q6" s="10">
        <v>0.0</v>
      </c>
      <c r="R6" s="14" t="s">
        <v>9</v>
      </c>
      <c r="S6" s="5" t="s">
        <v>32</v>
      </c>
      <c r="T6" s="9"/>
      <c r="U6" s="9"/>
      <c r="V6" s="100" t="s">
        <v>208</v>
      </c>
      <c r="W6" s="101">
        <v>16.0</v>
      </c>
      <c r="X6" s="100"/>
      <c r="Y6" s="100" t="s">
        <v>73</v>
      </c>
      <c r="Z6" s="101">
        <v>9.0</v>
      </c>
    </row>
    <row r="7" ht="12.75" customHeight="1">
      <c r="A7" s="9"/>
      <c r="B7" s="10" t="s">
        <v>345</v>
      </c>
      <c r="C7" s="14"/>
      <c r="D7" s="12" t="s">
        <v>33</v>
      </c>
      <c r="E7" s="10">
        <v>6.0</v>
      </c>
      <c r="F7" s="14" t="s">
        <v>9</v>
      </c>
      <c r="G7" s="5" t="s">
        <v>34</v>
      </c>
      <c r="H7" s="10">
        <v>0.0</v>
      </c>
      <c r="I7" s="14" t="s">
        <v>9</v>
      </c>
      <c r="J7" s="5" t="s">
        <v>35</v>
      </c>
      <c r="K7" s="10" t="s">
        <v>345</v>
      </c>
      <c r="L7" s="14"/>
      <c r="M7" s="9" t="s">
        <v>36</v>
      </c>
      <c r="N7" s="10" t="s">
        <v>345</v>
      </c>
      <c r="O7" s="14"/>
      <c r="P7" s="9" t="s">
        <v>348</v>
      </c>
      <c r="Q7" s="10">
        <v>0.0</v>
      </c>
      <c r="R7" s="14" t="s">
        <v>9</v>
      </c>
      <c r="S7" s="5" t="s">
        <v>38</v>
      </c>
      <c r="T7" s="9"/>
      <c r="U7" s="9"/>
      <c r="V7" s="100" t="s">
        <v>226</v>
      </c>
      <c r="W7" s="101">
        <v>0.0</v>
      </c>
      <c r="X7" s="100"/>
      <c r="Y7" s="100" t="s">
        <v>86</v>
      </c>
      <c r="Z7" s="101">
        <v>0.0</v>
      </c>
    </row>
    <row r="8" ht="12.75" customHeight="1">
      <c r="A8" s="9"/>
      <c r="B8" s="10">
        <v>0.0</v>
      </c>
      <c r="C8" s="14" t="s">
        <v>9</v>
      </c>
      <c r="D8" s="5" t="s">
        <v>39</v>
      </c>
      <c r="E8" s="10" t="s">
        <v>345</v>
      </c>
      <c r="F8" s="14"/>
      <c r="G8" s="9" t="s">
        <v>351</v>
      </c>
      <c r="H8" s="10" t="s">
        <v>345</v>
      </c>
      <c r="I8" s="14"/>
      <c r="J8" s="9" t="s">
        <v>352</v>
      </c>
      <c r="K8" s="10" t="s">
        <v>345</v>
      </c>
      <c r="L8" s="14"/>
      <c r="M8" s="12" t="s">
        <v>42</v>
      </c>
      <c r="N8" s="10">
        <v>6.0</v>
      </c>
      <c r="O8" s="14" t="s">
        <v>9</v>
      </c>
      <c r="P8" s="15" t="s">
        <v>43</v>
      </c>
      <c r="Q8" s="10" t="s">
        <v>345</v>
      </c>
      <c r="R8" s="14"/>
      <c r="S8" s="18" t="s">
        <v>44</v>
      </c>
      <c r="T8" s="9"/>
      <c r="U8" s="9"/>
      <c r="V8" s="100" t="s">
        <v>238</v>
      </c>
      <c r="W8" s="101">
        <v>4.0</v>
      </c>
      <c r="X8" s="100"/>
      <c r="Y8" s="100" t="s">
        <v>100</v>
      </c>
      <c r="Z8" s="101">
        <v>3.0</v>
      </c>
    </row>
    <row r="9" ht="12.75" customHeight="1">
      <c r="A9" s="9"/>
      <c r="B9" s="10" t="s">
        <v>345</v>
      </c>
      <c r="C9" s="14"/>
      <c r="D9" s="12" t="s">
        <v>45</v>
      </c>
      <c r="E9" s="10" t="s">
        <v>345</v>
      </c>
      <c r="F9" s="14"/>
      <c r="G9" s="12" t="s">
        <v>46</v>
      </c>
      <c r="H9" s="10" t="s">
        <v>345</v>
      </c>
      <c r="I9" s="14"/>
      <c r="J9" s="12" t="s">
        <v>41</v>
      </c>
      <c r="K9" s="10">
        <v>14.0</v>
      </c>
      <c r="L9" s="14" t="s">
        <v>9</v>
      </c>
      <c r="M9" s="5" t="s">
        <v>48</v>
      </c>
      <c r="N9" s="10" t="s">
        <v>345</v>
      </c>
      <c r="O9" s="14"/>
      <c r="P9" s="25" t="s">
        <v>353</v>
      </c>
      <c r="Q9" s="10" t="s">
        <v>345</v>
      </c>
      <c r="R9" s="14"/>
      <c r="S9" s="12" t="s">
        <v>50</v>
      </c>
      <c r="T9" s="9"/>
      <c r="U9" s="9"/>
      <c r="V9" s="100" t="s">
        <v>256</v>
      </c>
      <c r="W9" s="101">
        <v>6.0</v>
      </c>
      <c r="X9" s="100"/>
      <c r="Y9" s="100" t="s">
        <v>121</v>
      </c>
      <c r="Z9" s="101">
        <v>10.0</v>
      </c>
    </row>
    <row r="10" ht="12.75" customHeight="1">
      <c r="A10" s="9"/>
      <c r="B10" s="10"/>
      <c r="C10" s="3"/>
      <c r="D10" s="9"/>
      <c r="E10" s="10"/>
      <c r="F10" s="3"/>
      <c r="G10" s="9"/>
      <c r="H10" s="10" t="s">
        <v>345</v>
      </c>
      <c r="I10" s="3"/>
      <c r="J10" s="9"/>
      <c r="K10" s="10"/>
      <c r="L10" s="3"/>
      <c r="M10" s="9"/>
      <c r="N10" s="10"/>
      <c r="O10" s="3"/>
      <c r="P10" s="9"/>
      <c r="Q10" s="10"/>
      <c r="R10" s="3"/>
      <c r="S10" s="9"/>
      <c r="T10" s="9"/>
      <c r="U10" s="9"/>
      <c r="V10" s="100" t="s">
        <v>262</v>
      </c>
      <c r="W10" s="101">
        <v>4.0</v>
      </c>
      <c r="X10" s="100"/>
      <c r="Y10" s="100" t="s">
        <v>126</v>
      </c>
      <c r="Z10" s="101">
        <v>0.0</v>
      </c>
    </row>
    <row r="11" ht="12.75" customHeight="1">
      <c r="A11" s="9" t="s">
        <v>51</v>
      </c>
      <c r="B11" s="10">
        <v>4.0</v>
      </c>
      <c r="C11" s="14" t="s">
        <v>9</v>
      </c>
      <c r="D11" s="1" t="s">
        <v>52</v>
      </c>
      <c r="E11" s="10">
        <v>10.0</v>
      </c>
      <c r="F11" s="14" t="s">
        <v>9</v>
      </c>
      <c r="G11" s="1" t="s">
        <v>53</v>
      </c>
      <c r="H11" s="10">
        <v>0.0</v>
      </c>
      <c r="I11" s="14" t="s">
        <v>9</v>
      </c>
      <c r="J11" s="1" t="s">
        <v>54</v>
      </c>
      <c r="K11" s="10">
        <v>0.0</v>
      </c>
      <c r="L11" s="14" t="s">
        <v>9</v>
      </c>
      <c r="M11" s="5" t="s">
        <v>55</v>
      </c>
      <c r="N11" s="10">
        <v>12.0</v>
      </c>
      <c r="O11" s="14" t="s">
        <v>9</v>
      </c>
      <c r="P11" s="1" t="s">
        <v>56</v>
      </c>
      <c r="Q11" s="10">
        <v>2.0</v>
      </c>
      <c r="R11" s="14" t="s">
        <v>9</v>
      </c>
      <c r="S11" s="5" t="s">
        <v>57</v>
      </c>
      <c r="T11" s="9"/>
      <c r="U11" s="9"/>
      <c r="V11" s="100"/>
      <c r="W11" s="101">
        <v>36.0</v>
      </c>
      <c r="X11" s="100"/>
      <c r="Y11" s="100"/>
      <c r="Z11" s="101">
        <v>56.0</v>
      </c>
    </row>
    <row r="12" ht="12.75" customHeight="1">
      <c r="A12" s="9"/>
      <c r="B12" s="10">
        <v>11.0</v>
      </c>
      <c r="C12" s="14" t="s">
        <v>9</v>
      </c>
      <c r="D12" s="1" t="s">
        <v>58</v>
      </c>
      <c r="E12" s="10" t="s">
        <v>345</v>
      </c>
      <c r="F12" s="14"/>
      <c r="G12" s="9" t="s">
        <v>59</v>
      </c>
      <c r="H12" s="10" t="s">
        <v>345</v>
      </c>
      <c r="I12" s="14"/>
      <c r="J12" s="12" t="s">
        <v>60</v>
      </c>
      <c r="K12" s="10" t="s">
        <v>345</v>
      </c>
      <c r="L12" s="14"/>
      <c r="M12" s="9" t="s">
        <v>61</v>
      </c>
      <c r="N12" s="10" t="s">
        <v>345</v>
      </c>
      <c r="O12" s="14"/>
      <c r="P12" s="9" t="s">
        <v>62</v>
      </c>
      <c r="Q12" s="10" t="s">
        <v>345</v>
      </c>
      <c r="R12" s="14"/>
      <c r="S12" s="9" t="s">
        <v>63</v>
      </c>
      <c r="T12" s="9"/>
      <c r="U12" s="9"/>
      <c r="V12" s="100"/>
      <c r="W12" s="101"/>
      <c r="X12" s="100"/>
      <c r="Y12" s="100"/>
      <c r="Z12" s="101"/>
    </row>
    <row r="13" ht="12.75" customHeight="1">
      <c r="A13" s="9"/>
      <c r="B13" s="10" t="s">
        <v>345</v>
      </c>
      <c r="C13" s="14"/>
      <c r="D13" s="12" t="s">
        <v>64</v>
      </c>
      <c r="E13" s="10" t="s">
        <v>345</v>
      </c>
      <c r="F13" s="14"/>
      <c r="G13" s="12" t="s">
        <v>354</v>
      </c>
      <c r="H13" s="10">
        <v>8.0</v>
      </c>
      <c r="I13" s="14" t="s">
        <v>9</v>
      </c>
      <c r="J13" s="5" t="s">
        <v>66</v>
      </c>
      <c r="K13" s="10" t="s">
        <v>345</v>
      </c>
      <c r="L13" s="14"/>
      <c r="M13" s="9" t="s">
        <v>67</v>
      </c>
      <c r="N13" s="10" t="s">
        <v>345</v>
      </c>
      <c r="O13" s="14"/>
      <c r="P13" s="9" t="s">
        <v>355</v>
      </c>
      <c r="Q13" s="10" t="s">
        <v>345</v>
      </c>
      <c r="R13" s="14"/>
      <c r="S13" s="17" t="s">
        <v>69</v>
      </c>
      <c r="T13" s="9"/>
      <c r="U13" s="9"/>
      <c r="V13" s="98" t="s">
        <v>322</v>
      </c>
      <c r="W13" s="99"/>
      <c r="X13" s="98"/>
      <c r="Y13" s="98" t="s">
        <v>324</v>
      </c>
      <c r="Z13" s="99"/>
    </row>
    <row r="14" ht="12.75" customHeight="1">
      <c r="A14" s="9"/>
      <c r="B14" s="10" t="s">
        <v>345</v>
      </c>
      <c r="C14" s="14"/>
      <c r="D14" s="12" t="s">
        <v>356</v>
      </c>
      <c r="E14" s="10">
        <v>0.0</v>
      </c>
      <c r="F14" s="14" t="s">
        <v>9</v>
      </c>
      <c r="G14" s="5" t="s">
        <v>71</v>
      </c>
      <c r="H14" s="10" t="s">
        <v>345</v>
      </c>
      <c r="I14" s="14"/>
      <c r="J14" s="12" t="s">
        <v>72</v>
      </c>
      <c r="K14" s="10">
        <v>9.0</v>
      </c>
      <c r="L14" s="14" t="s">
        <v>9</v>
      </c>
      <c r="M14" s="5" t="s">
        <v>73</v>
      </c>
      <c r="N14" s="10">
        <v>0.0</v>
      </c>
      <c r="O14" s="14" t="s">
        <v>9</v>
      </c>
      <c r="P14" s="5" t="s">
        <v>350</v>
      </c>
      <c r="Q14" s="10">
        <v>0.0</v>
      </c>
      <c r="R14" s="14" t="s">
        <v>9</v>
      </c>
      <c r="S14" s="5" t="s">
        <v>75</v>
      </c>
      <c r="T14" s="9"/>
      <c r="U14" s="9"/>
      <c r="V14" s="100" t="s">
        <v>12</v>
      </c>
      <c r="W14" s="101">
        <v>19.0</v>
      </c>
      <c r="X14" s="100"/>
      <c r="Y14" s="100" t="s">
        <v>151</v>
      </c>
      <c r="Z14" s="101">
        <v>8.0</v>
      </c>
    </row>
    <row r="15" ht="12.75" customHeight="1">
      <c r="A15" s="9"/>
      <c r="B15" s="10"/>
      <c r="C15" s="3"/>
      <c r="D15" s="9"/>
      <c r="E15" s="10"/>
      <c r="F15" s="3"/>
      <c r="G15" s="9"/>
      <c r="H15" s="10" t="s">
        <v>345</v>
      </c>
      <c r="I15" s="3"/>
      <c r="J15" s="9"/>
      <c r="K15" s="10"/>
      <c r="L15" s="3"/>
      <c r="M15" s="9"/>
      <c r="N15" s="10"/>
      <c r="O15" s="3"/>
      <c r="P15" s="9"/>
      <c r="Q15" s="10"/>
      <c r="R15" s="3"/>
      <c r="S15" s="9"/>
      <c r="T15" s="9"/>
      <c r="U15" s="9"/>
      <c r="V15" s="100" t="s">
        <v>31</v>
      </c>
      <c r="W15" s="101">
        <v>10.0</v>
      </c>
      <c r="X15" s="100"/>
      <c r="Y15" s="100" t="s">
        <v>169</v>
      </c>
      <c r="Z15" s="101">
        <v>6.0</v>
      </c>
    </row>
    <row r="16" ht="12.75" customHeight="1">
      <c r="A16" s="9" t="s">
        <v>76</v>
      </c>
      <c r="B16" s="10" t="s">
        <v>345</v>
      </c>
      <c r="C16" s="14"/>
      <c r="D16" s="9" t="s">
        <v>357</v>
      </c>
      <c r="E16" s="10">
        <v>0.0</v>
      </c>
      <c r="F16" s="14" t="s">
        <v>9</v>
      </c>
      <c r="G16" s="5" t="s">
        <v>78</v>
      </c>
      <c r="H16" s="10" t="s">
        <v>345</v>
      </c>
      <c r="I16" s="14"/>
      <c r="J16" s="9" t="s">
        <v>79</v>
      </c>
      <c r="K16" s="10">
        <v>0.0</v>
      </c>
      <c r="L16" s="14" t="s">
        <v>9</v>
      </c>
      <c r="M16" s="1" t="s">
        <v>86</v>
      </c>
      <c r="N16" s="10" t="s">
        <v>345</v>
      </c>
      <c r="O16" s="14"/>
      <c r="P16" s="12" t="s">
        <v>81</v>
      </c>
      <c r="Q16" s="10" t="s">
        <v>345</v>
      </c>
      <c r="R16" s="14"/>
      <c r="S16" s="9" t="s">
        <v>80</v>
      </c>
      <c r="T16" s="9"/>
      <c r="U16" s="9"/>
      <c r="V16" s="100" t="s">
        <v>43</v>
      </c>
      <c r="W16" s="101">
        <v>6.0</v>
      </c>
      <c r="X16" s="100"/>
      <c r="Y16" s="100" t="s">
        <v>181</v>
      </c>
      <c r="Z16" s="101">
        <v>0.0</v>
      </c>
    </row>
    <row r="17" ht="12.75" customHeight="1">
      <c r="A17" s="9"/>
      <c r="B17" s="10" t="s">
        <v>345</v>
      </c>
      <c r="C17" s="14"/>
      <c r="D17" s="12" t="s">
        <v>77</v>
      </c>
      <c r="E17" s="10" t="s">
        <v>345</v>
      </c>
      <c r="F17" s="14"/>
      <c r="G17" s="9" t="s">
        <v>358</v>
      </c>
      <c r="H17" s="10" t="s">
        <v>345</v>
      </c>
      <c r="I17" s="14"/>
      <c r="J17" s="9" t="s">
        <v>85</v>
      </c>
      <c r="K17" s="10" t="s">
        <v>345</v>
      </c>
      <c r="L17" s="14"/>
      <c r="M17" s="12" t="s">
        <v>88</v>
      </c>
      <c r="N17" s="10" t="s">
        <v>345</v>
      </c>
      <c r="O17" s="14"/>
      <c r="P17" s="9" t="s">
        <v>90</v>
      </c>
      <c r="Q17" s="10">
        <v>6.0</v>
      </c>
      <c r="R17" s="14" t="s">
        <v>9</v>
      </c>
      <c r="S17" s="5" t="s">
        <v>82</v>
      </c>
      <c r="T17" s="9"/>
      <c r="U17" s="9"/>
      <c r="V17" s="100" t="s">
        <v>56</v>
      </c>
      <c r="W17" s="101">
        <v>12.0</v>
      </c>
      <c r="X17" s="100"/>
      <c r="Y17" s="100" t="s">
        <v>193</v>
      </c>
      <c r="Z17" s="101">
        <v>2.0</v>
      </c>
    </row>
    <row r="18" ht="12.75" customHeight="1">
      <c r="A18" s="9"/>
      <c r="B18" s="10">
        <v>0.0</v>
      </c>
      <c r="C18" s="14" t="s">
        <v>9</v>
      </c>
      <c r="D18" s="5" t="s">
        <v>93</v>
      </c>
      <c r="E18" s="10" t="s">
        <v>345</v>
      </c>
      <c r="F18" s="14"/>
      <c r="G18" s="12" t="s">
        <v>359</v>
      </c>
      <c r="H18" s="10">
        <v>8.0</v>
      </c>
      <c r="I18" s="14" t="s">
        <v>9</v>
      </c>
      <c r="J18" s="5" t="s">
        <v>91</v>
      </c>
      <c r="K18" s="10" t="s">
        <v>345</v>
      </c>
      <c r="L18" s="14"/>
      <c r="M18" s="9" t="s">
        <v>92</v>
      </c>
      <c r="N18" s="10">
        <v>0.0</v>
      </c>
      <c r="O18" s="14" t="s">
        <v>9</v>
      </c>
      <c r="P18" s="5" t="s">
        <v>87</v>
      </c>
      <c r="Q18" s="10" t="s">
        <v>345</v>
      </c>
      <c r="R18" s="14"/>
      <c r="S18" s="12" t="s">
        <v>94</v>
      </c>
      <c r="T18" s="9"/>
      <c r="U18" s="9"/>
      <c r="V18" s="100" t="s">
        <v>350</v>
      </c>
      <c r="W18" s="101">
        <v>0.0</v>
      </c>
      <c r="X18" s="100"/>
      <c r="Y18" s="100" t="s">
        <v>205</v>
      </c>
      <c r="Z18" s="101">
        <v>6.0</v>
      </c>
    </row>
    <row r="19" ht="12.75" customHeight="1">
      <c r="A19" s="9"/>
      <c r="B19" s="10"/>
      <c r="C19" s="3"/>
      <c r="D19" s="9"/>
      <c r="E19" s="10"/>
      <c r="F19" s="3"/>
      <c r="G19" s="9"/>
      <c r="H19" s="10" t="s">
        <v>345</v>
      </c>
      <c r="I19" s="3"/>
      <c r="J19" s="9" t="s">
        <v>95</v>
      </c>
      <c r="K19" s="10"/>
      <c r="L19" s="3"/>
      <c r="M19" s="9"/>
      <c r="N19" s="10"/>
      <c r="O19" s="3"/>
      <c r="P19" s="9"/>
      <c r="Q19" s="10"/>
      <c r="R19" s="3"/>
      <c r="S19" s="9"/>
      <c r="T19" s="9"/>
      <c r="U19" s="9"/>
      <c r="V19" s="100" t="s">
        <v>87</v>
      </c>
      <c r="W19" s="101">
        <v>0.0</v>
      </c>
      <c r="X19" s="100"/>
      <c r="Y19" s="100" t="s">
        <v>217</v>
      </c>
      <c r="Z19" s="101">
        <v>6.0</v>
      </c>
    </row>
    <row r="20" ht="12.75" customHeight="1">
      <c r="A20" s="9" t="s">
        <v>96</v>
      </c>
      <c r="B20" s="10">
        <v>6.0</v>
      </c>
      <c r="C20" s="14" t="s">
        <v>9</v>
      </c>
      <c r="D20" s="5" t="s">
        <v>97</v>
      </c>
      <c r="E20" s="10">
        <v>6.0</v>
      </c>
      <c r="F20" s="14" t="s">
        <v>9</v>
      </c>
      <c r="G20" s="5" t="s">
        <v>98</v>
      </c>
      <c r="H20" s="10">
        <v>4.0</v>
      </c>
      <c r="I20" s="14" t="s">
        <v>9</v>
      </c>
      <c r="J20" s="1" t="s">
        <v>99</v>
      </c>
      <c r="K20" s="10">
        <v>3.0</v>
      </c>
      <c r="L20" s="14" t="s">
        <v>9</v>
      </c>
      <c r="M20" s="5" t="s">
        <v>100</v>
      </c>
      <c r="N20" s="10" t="s">
        <v>345</v>
      </c>
      <c r="O20" s="14"/>
      <c r="P20" s="9" t="s">
        <v>360</v>
      </c>
      <c r="Q20" s="10" t="s">
        <v>345</v>
      </c>
      <c r="R20" s="14"/>
      <c r="S20" s="12" t="s">
        <v>361</v>
      </c>
      <c r="T20" s="9"/>
      <c r="U20" s="9"/>
      <c r="V20" s="100" t="s">
        <v>101</v>
      </c>
      <c r="W20" s="101">
        <v>7.0</v>
      </c>
      <c r="X20" s="100"/>
      <c r="Y20" s="100" t="s">
        <v>235</v>
      </c>
      <c r="Z20" s="101">
        <v>1.0</v>
      </c>
    </row>
    <row r="21" ht="12.75" customHeight="1">
      <c r="A21" s="9"/>
      <c r="B21" s="10" t="s">
        <v>345</v>
      </c>
      <c r="C21" s="14"/>
      <c r="D21" s="9" t="s">
        <v>103</v>
      </c>
      <c r="E21" s="10" t="s">
        <v>345</v>
      </c>
      <c r="F21" s="14"/>
      <c r="G21" s="12" t="s">
        <v>104</v>
      </c>
      <c r="H21" s="10" t="s">
        <v>345</v>
      </c>
      <c r="I21" s="14"/>
      <c r="J21" s="9" t="s">
        <v>105</v>
      </c>
      <c r="K21" s="10" t="s">
        <v>345</v>
      </c>
      <c r="L21" s="14"/>
      <c r="M21" s="9" t="s">
        <v>106</v>
      </c>
      <c r="N21" s="10">
        <v>7.0</v>
      </c>
      <c r="O21" s="14" t="s">
        <v>9</v>
      </c>
      <c r="P21" s="1" t="s">
        <v>101</v>
      </c>
      <c r="Q21" s="10">
        <v>9.0</v>
      </c>
      <c r="R21" s="14" t="s">
        <v>9</v>
      </c>
      <c r="S21" s="1" t="s">
        <v>102</v>
      </c>
      <c r="T21" s="9"/>
      <c r="U21" s="9"/>
      <c r="V21" s="100" t="s">
        <v>120</v>
      </c>
      <c r="W21" s="101">
        <v>5.0</v>
      </c>
      <c r="X21" s="100"/>
      <c r="Y21" s="100" t="s">
        <v>247</v>
      </c>
      <c r="Z21" s="101">
        <v>6.0</v>
      </c>
    </row>
    <row r="22" ht="12.75" customHeight="1">
      <c r="A22" s="9"/>
      <c r="B22" s="10"/>
      <c r="C22" s="3"/>
      <c r="D22" s="9"/>
      <c r="E22" s="10"/>
      <c r="F22" s="3"/>
      <c r="G22" s="9"/>
      <c r="H22" s="10" t="s">
        <v>345</v>
      </c>
      <c r="I22" s="3"/>
      <c r="J22" s="9"/>
      <c r="K22" s="10"/>
      <c r="L22" s="3"/>
      <c r="M22" s="9"/>
      <c r="N22" s="10"/>
      <c r="O22" s="3"/>
      <c r="P22" s="9"/>
      <c r="Q22" s="10"/>
      <c r="R22" s="3"/>
      <c r="S22" s="9"/>
      <c r="T22" s="9"/>
      <c r="U22" s="9"/>
      <c r="V22" s="100" t="s">
        <v>127</v>
      </c>
      <c r="W22" s="101">
        <v>4.0</v>
      </c>
      <c r="X22" s="100"/>
      <c r="Y22" s="100" t="s">
        <v>259</v>
      </c>
      <c r="Z22" s="101">
        <v>0.0</v>
      </c>
    </row>
    <row r="23" ht="12.75" customHeight="1">
      <c r="A23" s="9" t="s">
        <v>109</v>
      </c>
      <c r="B23" s="10" t="s">
        <v>345</v>
      </c>
      <c r="C23" s="14"/>
      <c r="D23" s="9" t="s">
        <v>110</v>
      </c>
      <c r="E23" s="10">
        <v>12.0</v>
      </c>
      <c r="F23" s="14" t="s">
        <v>9</v>
      </c>
      <c r="G23" s="5" t="s">
        <v>111</v>
      </c>
      <c r="H23" s="10">
        <v>0.0</v>
      </c>
      <c r="I23" s="14" t="s">
        <v>9</v>
      </c>
      <c r="J23" s="1" t="s">
        <v>112</v>
      </c>
      <c r="K23" s="10" t="s">
        <v>345</v>
      </c>
      <c r="L23" s="14"/>
      <c r="M23" s="9" t="s">
        <v>113</v>
      </c>
      <c r="N23" s="10" t="s">
        <v>345</v>
      </c>
      <c r="O23" s="14"/>
      <c r="P23" s="9" t="s">
        <v>114</v>
      </c>
      <c r="Q23" s="10" t="s">
        <v>345</v>
      </c>
      <c r="R23" s="14"/>
      <c r="S23" s="12" t="s">
        <v>115</v>
      </c>
      <c r="T23" s="9"/>
      <c r="U23" s="9"/>
      <c r="V23" s="100"/>
      <c r="W23" s="101">
        <v>63.0</v>
      </c>
      <c r="X23" s="100"/>
      <c r="Y23" s="100"/>
      <c r="Z23" s="101">
        <v>35.0</v>
      </c>
    </row>
    <row r="24" ht="12.75" customHeight="1">
      <c r="A24" s="9"/>
      <c r="B24" s="10">
        <v>9.0</v>
      </c>
      <c r="C24" s="14" t="s">
        <v>9</v>
      </c>
      <c r="D24" s="1" t="s">
        <v>116</v>
      </c>
      <c r="E24" s="10" t="s">
        <v>345</v>
      </c>
      <c r="F24" s="14"/>
      <c r="G24" s="12" t="s">
        <v>117</v>
      </c>
      <c r="H24" s="10" t="s">
        <v>345</v>
      </c>
      <c r="I24" s="14"/>
      <c r="J24" s="9" t="s">
        <v>118</v>
      </c>
      <c r="K24" s="10">
        <v>10.0</v>
      </c>
      <c r="L24" s="14" t="s">
        <v>9</v>
      </c>
      <c r="M24" s="5" t="s">
        <v>121</v>
      </c>
      <c r="N24" s="10">
        <v>5.0</v>
      </c>
      <c r="O24" s="14" t="s">
        <v>9</v>
      </c>
      <c r="P24" s="1" t="s">
        <v>120</v>
      </c>
      <c r="Q24" s="10">
        <v>0.0</v>
      </c>
      <c r="R24" s="14" t="s">
        <v>9</v>
      </c>
      <c r="S24" s="5" t="s">
        <v>362</v>
      </c>
      <c r="T24" s="9"/>
      <c r="U24" s="9"/>
      <c r="V24" s="100"/>
      <c r="W24" s="101"/>
      <c r="X24" s="100"/>
      <c r="Y24" s="100"/>
      <c r="Z24" s="101"/>
    </row>
    <row r="25" ht="12.75" customHeight="1">
      <c r="A25" s="9"/>
      <c r="B25" s="10"/>
      <c r="C25" s="3"/>
      <c r="D25" s="9"/>
      <c r="E25" s="10"/>
      <c r="F25" s="3"/>
      <c r="G25" s="9"/>
      <c r="H25" s="10" t="s">
        <v>345</v>
      </c>
      <c r="I25" s="3"/>
      <c r="J25" s="9"/>
      <c r="K25" s="10"/>
      <c r="L25" s="3"/>
      <c r="M25" s="9"/>
      <c r="N25" s="10"/>
      <c r="O25" s="3"/>
      <c r="P25" s="9"/>
      <c r="Q25" s="10"/>
      <c r="R25" s="3"/>
      <c r="S25" s="9"/>
      <c r="T25" s="9"/>
      <c r="U25" s="9"/>
      <c r="V25" s="98" t="s">
        <v>319</v>
      </c>
      <c r="W25" s="99"/>
      <c r="X25" s="98"/>
      <c r="Y25" s="98" t="s">
        <v>326</v>
      </c>
      <c r="Z25" s="99"/>
    </row>
    <row r="26" ht="12.75" customHeight="1">
      <c r="A26" s="9" t="s">
        <v>122</v>
      </c>
      <c r="B26" s="10">
        <v>4.0</v>
      </c>
      <c r="C26" s="14" t="s">
        <v>9</v>
      </c>
      <c r="D26" s="5" t="s">
        <v>123</v>
      </c>
      <c r="E26" s="10">
        <v>4.0</v>
      </c>
      <c r="F26" s="14" t="s">
        <v>9</v>
      </c>
      <c r="G26" s="5" t="s">
        <v>124</v>
      </c>
      <c r="H26" s="10" t="s">
        <v>345</v>
      </c>
      <c r="I26" s="14"/>
      <c r="J26" s="9" t="s">
        <v>125</v>
      </c>
      <c r="K26" s="10">
        <v>0.0</v>
      </c>
      <c r="L26" s="14" t="s">
        <v>9</v>
      </c>
      <c r="M26" s="1" t="s">
        <v>126</v>
      </c>
      <c r="N26" s="10">
        <v>4.0</v>
      </c>
      <c r="O26" s="14" t="s">
        <v>9</v>
      </c>
      <c r="P26" s="1" t="s">
        <v>127</v>
      </c>
      <c r="Q26" s="10" t="s">
        <v>345</v>
      </c>
      <c r="R26" s="14"/>
      <c r="S26" s="12" t="s">
        <v>128</v>
      </c>
      <c r="T26" s="9"/>
      <c r="U26" s="9"/>
      <c r="V26" s="100" t="s">
        <v>15</v>
      </c>
      <c r="W26" s="101">
        <v>12.0</v>
      </c>
      <c r="X26" s="100"/>
      <c r="Y26" s="100" t="s">
        <v>159</v>
      </c>
      <c r="Z26" s="101">
        <v>8.0</v>
      </c>
    </row>
    <row r="27" ht="12.75" customHeight="1">
      <c r="A27" s="9"/>
      <c r="B27" s="10" t="s">
        <v>345</v>
      </c>
      <c r="C27" s="14"/>
      <c r="D27" s="9" t="s">
        <v>129</v>
      </c>
      <c r="E27" s="10" t="s">
        <v>345</v>
      </c>
      <c r="F27" s="14"/>
      <c r="G27" s="9" t="s">
        <v>130</v>
      </c>
      <c r="H27" s="10">
        <v>0.0</v>
      </c>
      <c r="I27" s="14" t="s">
        <v>9</v>
      </c>
      <c r="J27" s="5" t="s">
        <v>131</v>
      </c>
      <c r="K27" s="10" t="s">
        <v>345</v>
      </c>
      <c r="L27" s="14"/>
      <c r="M27" s="9" t="s">
        <v>132</v>
      </c>
      <c r="N27" s="10" t="s">
        <v>345</v>
      </c>
      <c r="O27" s="14"/>
      <c r="P27" s="12" t="s">
        <v>133</v>
      </c>
      <c r="Q27" s="10">
        <v>0.0</v>
      </c>
      <c r="R27" s="14" t="s">
        <v>9</v>
      </c>
      <c r="S27" s="1" t="s">
        <v>134</v>
      </c>
      <c r="T27" s="9"/>
      <c r="U27" s="9"/>
      <c r="V27" s="100" t="s">
        <v>28</v>
      </c>
      <c r="W27" s="101">
        <v>8.0</v>
      </c>
      <c r="X27" s="100"/>
      <c r="Y27" s="100" t="s">
        <v>171</v>
      </c>
      <c r="Z27" s="101">
        <v>11.0</v>
      </c>
    </row>
    <row r="28" ht="12.75" customHeight="1">
      <c r="A28" s="9"/>
      <c r="B28" s="2"/>
      <c r="C28" s="3"/>
      <c r="D28" s="9"/>
      <c r="E28" s="10"/>
      <c r="F28" s="3"/>
      <c r="G28" s="9"/>
      <c r="H28" s="10"/>
      <c r="I28" s="3"/>
      <c r="J28" s="9"/>
      <c r="K28" s="10"/>
      <c r="L28" s="3"/>
      <c r="M28" s="9"/>
      <c r="N28" s="10"/>
      <c r="O28" s="3"/>
      <c r="P28" s="12" t="s">
        <v>95</v>
      </c>
      <c r="Q28" s="10"/>
      <c r="R28" s="3"/>
      <c r="S28" s="9"/>
      <c r="T28" s="9"/>
      <c r="U28" s="9"/>
      <c r="V28" s="100" t="s">
        <v>34</v>
      </c>
      <c r="W28" s="101">
        <v>6.0</v>
      </c>
      <c r="X28" s="100"/>
      <c r="Y28" s="100" t="s">
        <v>183</v>
      </c>
      <c r="Z28" s="101">
        <v>9.0</v>
      </c>
    </row>
    <row r="29" ht="12.75" customHeight="1">
      <c r="A29" s="19"/>
      <c r="B29" s="20"/>
      <c r="C29" s="21"/>
      <c r="D29" s="22">
        <v>71.0</v>
      </c>
      <c r="E29" s="20"/>
      <c r="F29" s="21"/>
      <c r="G29" s="22">
        <v>58.0</v>
      </c>
      <c r="H29" s="20"/>
      <c r="I29" s="21"/>
      <c r="J29" s="22">
        <v>42.0</v>
      </c>
      <c r="K29" s="20"/>
      <c r="L29" s="21"/>
      <c r="M29" s="22">
        <v>56.0</v>
      </c>
      <c r="N29" s="20"/>
      <c r="O29" s="21"/>
      <c r="P29" s="22">
        <v>63.0</v>
      </c>
      <c r="Q29" s="20"/>
      <c r="R29" s="21"/>
      <c r="S29" s="22">
        <v>31.0</v>
      </c>
      <c r="T29" s="19"/>
      <c r="U29" s="19"/>
      <c r="V29" s="100" t="s">
        <v>53</v>
      </c>
      <c r="W29" s="101">
        <v>10.0</v>
      </c>
      <c r="X29" s="100"/>
      <c r="Y29" s="100" t="s">
        <v>201</v>
      </c>
      <c r="Z29" s="101">
        <v>9.0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6"/>
      <c r="S30" s="9"/>
      <c r="T30" s="9"/>
      <c r="U30" s="9"/>
      <c r="V30" s="100" t="s">
        <v>71</v>
      </c>
      <c r="W30" s="101">
        <v>0.0</v>
      </c>
      <c r="X30" s="100"/>
      <c r="Y30" s="18" t="s">
        <v>207</v>
      </c>
      <c r="Z30" s="101">
        <v>0.0</v>
      </c>
    </row>
    <row r="31" ht="12.75" customHeight="1">
      <c r="A31" s="9" t="s">
        <v>135</v>
      </c>
      <c r="B31" s="2"/>
      <c r="C31" s="3"/>
      <c r="D31" s="9" t="s">
        <v>136</v>
      </c>
      <c r="E31" s="2"/>
      <c r="F31" s="6"/>
      <c r="G31" s="9" t="s">
        <v>137</v>
      </c>
      <c r="H31" s="2"/>
      <c r="I31" s="6"/>
      <c r="J31" s="9" t="s">
        <v>138</v>
      </c>
      <c r="K31" s="2"/>
      <c r="L31" s="6"/>
      <c r="M31" s="9" t="s">
        <v>139</v>
      </c>
      <c r="N31" s="2"/>
      <c r="O31" s="6"/>
      <c r="P31" s="9" t="s">
        <v>140</v>
      </c>
      <c r="Q31" s="2"/>
      <c r="R31" s="6"/>
      <c r="S31" s="9" t="s">
        <v>141</v>
      </c>
      <c r="T31" s="9"/>
      <c r="U31" s="9"/>
      <c r="V31" s="100" t="s">
        <v>78</v>
      </c>
      <c r="W31" s="101">
        <v>0.0</v>
      </c>
      <c r="X31" s="100"/>
      <c r="Y31" s="100" t="s">
        <v>219</v>
      </c>
      <c r="Z31" s="101">
        <v>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142</v>
      </c>
      <c r="Q32" s="2"/>
      <c r="R32" s="6"/>
      <c r="S32" s="9"/>
      <c r="T32" s="9"/>
      <c r="U32" s="9"/>
      <c r="V32" s="100" t="s">
        <v>98</v>
      </c>
      <c r="W32" s="101">
        <v>6.0</v>
      </c>
      <c r="X32" s="100"/>
      <c r="Y32" s="100" t="s">
        <v>237</v>
      </c>
      <c r="Z32" s="101">
        <v>11.0</v>
      </c>
    </row>
    <row r="33" ht="12.75" customHeight="1">
      <c r="A33" s="9"/>
      <c r="B33" s="2"/>
      <c r="C33" s="3"/>
      <c r="D33" s="25"/>
      <c r="E33" s="26"/>
      <c r="F33" s="26"/>
      <c r="G33" s="25"/>
      <c r="H33" s="26"/>
      <c r="I33" s="26"/>
      <c r="J33" s="25"/>
      <c r="K33" s="25"/>
      <c r="L33" s="26"/>
      <c r="M33" s="25"/>
      <c r="P33" s="25"/>
      <c r="R33" s="3"/>
      <c r="S33" s="25"/>
      <c r="T33" s="6"/>
      <c r="U33" s="26"/>
      <c r="V33" s="103" t="s">
        <v>111</v>
      </c>
      <c r="W33" s="101">
        <v>12.0</v>
      </c>
      <c r="X33" s="100"/>
      <c r="Y33" s="100" t="s">
        <v>249</v>
      </c>
      <c r="Z33" s="101">
        <v>12.0</v>
      </c>
    </row>
    <row r="34" ht="12.75" customHeight="1">
      <c r="A34" s="9" t="s">
        <v>143</v>
      </c>
      <c r="B34" s="9"/>
      <c r="C34" s="3"/>
      <c r="D34" s="25"/>
      <c r="E34" s="26"/>
      <c r="F34" s="26"/>
      <c r="G34" s="25"/>
      <c r="H34" s="26"/>
      <c r="I34" s="26"/>
      <c r="J34" s="25"/>
      <c r="K34" s="25"/>
      <c r="L34" s="26"/>
      <c r="M34" s="25"/>
      <c r="P34" s="25"/>
      <c r="R34" s="3"/>
      <c r="S34" s="25"/>
      <c r="T34" s="6"/>
      <c r="U34" s="26"/>
      <c r="V34" s="103" t="s">
        <v>124</v>
      </c>
      <c r="W34" s="101">
        <v>4.0</v>
      </c>
      <c r="X34" s="100"/>
      <c r="Y34" s="100" t="s">
        <v>261</v>
      </c>
      <c r="Z34" s="101">
        <v>5.0</v>
      </c>
    </row>
    <row r="35" ht="12.75" customHeight="1">
      <c r="A35" s="9"/>
      <c r="B35" s="9"/>
      <c r="C35" s="3"/>
      <c r="D35" s="12"/>
      <c r="E35" s="26"/>
      <c r="F35" s="26"/>
      <c r="G35" s="12"/>
      <c r="H35" s="26"/>
      <c r="I35" s="26"/>
      <c r="J35" s="25"/>
      <c r="K35" s="25"/>
      <c r="L35" s="26"/>
      <c r="M35" s="25"/>
      <c r="P35" s="25"/>
      <c r="R35" s="3"/>
      <c r="S35" s="25"/>
      <c r="T35" s="6"/>
      <c r="U35" s="9"/>
      <c r="V35" s="103"/>
      <c r="W35" s="101">
        <v>58.0</v>
      </c>
      <c r="X35" s="100"/>
      <c r="Y35" s="100"/>
      <c r="Z35" s="101">
        <v>65.0</v>
      </c>
    </row>
    <row r="36" ht="12.75" customHeight="1">
      <c r="A36" s="9"/>
      <c r="B36" s="2"/>
      <c r="C36" s="3"/>
      <c r="D36" s="12"/>
      <c r="E36" s="2"/>
      <c r="F36" s="6"/>
      <c r="G36" s="12"/>
      <c r="H36" s="2"/>
      <c r="I36" s="6"/>
      <c r="J36" s="25"/>
      <c r="K36" s="9"/>
      <c r="L36" s="6"/>
      <c r="M36" s="25"/>
      <c r="N36" s="26"/>
      <c r="O36" s="26"/>
      <c r="P36" s="25"/>
      <c r="Q36" s="26"/>
      <c r="R36" s="3"/>
      <c r="S36" s="25"/>
      <c r="T36" s="6"/>
      <c r="U36" s="6"/>
      <c r="V36" s="100"/>
      <c r="W36" s="101"/>
      <c r="X36" s="100"/>
      <c r="Y36" s="100"/>
      <c r="Z36" s="101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6"/>
      <c r="S37" s="9"/>
      <c r="T37" s="9"/>
      <c r="U37" s="9"/>
      <c r="V37" s="98" t="s">
        <v>302</v>
      </c>
      <c r="W37" s="99"/>
      <c r="X37" s="98"/>
      <c r="Y37" s="98" t="s">
        <v>328</v>
      </c>
      <c r="Z37" s="99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6"/>
      <c r="S38" s="9"/>
      <c r="T38" s="9"/>
      <c r="U38" s="9"/>
      <c r="V38" s="100" t="s">
        <v>14</v>
      </c>
      <c r="W38" s="101">
        <v>21.0</v>
      </c>
      <c r="X38" s="100"/>
      <c r="Y38" s="100" t="s">
        <v>155</v>
      </c>
      <c r="Z38" s="101">
        <v>27.0</v>
      </c>
    </row>
    <row r="39" ht="12.75" customHeight="1">
      <c r="A39" s="1" t="s">
        <v>144</v>
      </c>
      <c r="B39" s="2"/>
      <c r="C39" s="3"/>
      <c r="D39" s="5" t="s">
        <v>145</v>
      </c>
      <c r="E39" s="2"/>
      <c r="F39" s="1"/>
      <c r="G39" s="5" t="s">
        <v>146</v>
      </c>
      <c r="H39" s="2"/>
      <c r="I39" s="1"/>
      <c r="J39" s="5" t="s">
        <v>147</v>
      </c>
      <c r="K39" s="2"/>
      <c r="L39" s="1"/>
      <c r="M39" s="5" t="s">
        <v>148</v>
      </c>
      <c r="N39" s="2"/>
      <c r="O39" s="1"/>
      <c r="P39" s="5" t="s">
        <v>149</v>
      </c>
      <c r="Q39" s="2"/>
      <c r="R39" s="6"/>
      <c r="S39" s="5" t="s">
        <v>150</v>
      </c>
      <c r="T39" s="1"/>
      <c r="U39" s="1"/>
      <c r="V39" s="100" t="s">
        <v>27</v>
      </c>
      <c r="W39" s="101">
        <v>16.0</v>
      </c>
      <c r="X39" s="100"/>
      <c r="Y39" s="18" t="s">
        <v>185</v>
      </c>
      <c r="Z39" s="101">
        <v>0.0</v>
      </c>
    </row>
    <row r="40" ht="12.75" customHeight="1">
      <c r="A40" s="9" t="s">
        <v>6</v>
      </c>
      <c r="B40" s="10">
        <v>8.0</v>
      </c>
      <c r="C40" s="14" t="s">
        <v>9</v>
      </c>
      <c r="D40" s="1" t="s">
        <v>151</v>
      </c>
      <c r="E40" s="10">
        <v>6.0</v>
      </c>
      <c r="F40" s="14" t="s">
        <v>9</v>
      </c>
      <c r="G40" s="1" t="s">
        <v>152</v>
      </c>
      <c r="H40" s="10" t="s">
        <v>345</v>
      </c>
      <c r="I40" s="14"/>
      <c r="J40" s="9" t="s">
        <v>153</v>
      </c>
      <c r="K40" s="10">
        <v>4.0</v>
      </c>
      <c r="L40" s="14" t="s">
        <v>9</v>
      </c>
      <c r="M40" s="1" t="s">
        <v>154</v>
      </c>
      <c r="N40" s="10">
        <v>27.0</v>
      </c>
      <c r="O40" s="14" t="s">
        <v>9</v>
      </c>
      <c r="P40" s="1" t="s">
        <v>155</v>
      </c>
      <c r="Q40" s="10" t="s">
        <v>345</v>
      </c>
      <c r="R40" s="14"/>
      <c r="S40" s="9" t="s">
        <v>156</v>
      </c>
      <c r="T40" s="9"/>
      <c r="U40" s="9"/>
      <c r="V40" s="100" t="s">
        <v>39</v>
      </c>
      <c r="W40" s="101">
        <v>0.0</v>
      </c>
      <c r="X40" s="100"/>
      <c r="Y40" s="100" t="s">
        <v>191</v>
      </c>
      <c r="Z40" s="101">
        <v>4.0</v>
      </c>
    </row>
    <row r="41" ht="12.75" customHeight="1">
      <c r="A41" s="9"/>
      <c r="B41" s="10" t="s">
        <v>345</v>
      </c>
      <c r="C41" s="14"/>
      <c r="D41" s="9" t="s">
        <v>163</v>
      </c>
      <c r="E41" s="10" t="s">
        <v>345</v>
      </c>
      <c r="F41" s="14"/>
      <c r="G41" s="9" t="s">
        <v>158</v>
      </c>
      <c r="H41" s="10">
        <v>8.0</v>
      </c>
      <c r="I41" s="14" t="s">
        <v>9</v>
      </c>
      <c r="J41" s="5" t="s">
        <v>159</v>
      </c>
      <c r="K41" s="10" t="s">
        <v>345</v>
      </c>
      <c r="L41" s="14"/>
      <c r="M41" s="9" t="s">
        <v>160</v>
      </c>
      <c r="N41" s="10" t="s">
        <v>345</v>
      </c>
      <c r="O41" s="14"/>
      <c r="P41" s="12" t="s">
        <v>161</v>
      </c>
      <c r="Q41" s="10">
        <v>11.0</v>
      </c>
      <c r="R41" s="14" t="s">
        <v>9</v>
      </c>
      <c r="S41" s="1" t="s">
        <v>162</v>
      </c>
      <c r="T41" s="9"/>
      <c r="U41" s="9"/>
      <c r="V41" s="100" t="s">
        <v>52</v>
      </c>
      <c r="W41" s="101">
        <v>4.0</v>
      </c>
      <c r="X41" s="100"/>
      <c r="Y41" s="100" t="s">
        <v>197</v>
      </c>
      <c r="Z41" s="101">
        <v>0.0</v>
      </c>
    </row>
    <row r="42" ht="12.75" customHeight="1">
      <c r="A42" s="9"/>
      <c r="B42" s="10" t="s">
        <v>345</v>
      </c>
      <c r="C42" s="14"/>
      <c r="D42" s="12" t="s">
        <v>157</v>
      </c>
      <c r="E42" s="10" t="s">
        <v>345</v>
      </c>
      <c r="F42" s="14"/>
      <c r="G42" s="12" t="s">
        <v>164</v>
      </c>
      <c r="H42" s="10" t="s">
        <v>345</v>
      </c>
      <c r="I42" s="14"/>
      <c r="J42" s="12" t="s">
        <v>365</v>
      </c>
      <c r="K42" s="10" t="s">
        <v>345</v>
      </c>
      <c r="L42" s="14"/>
      <c r="M42" s="9" t="s">
        <v>363</v>
      </c>
      <c r="N42" s="10" t="s">
        <v>345</v>
      </c>
      <c r="O42" s="14"/>
      <c r="P42" s="12" t="s">
        <v>167</v>
      </c>
      <c r="Q42" s="10" t="s">
        <v>345</v>
      </c>
      <c r="R42" s="14"/>
      <c r="S42" s="12" t="s">
        <v>168</v>
      </c>
      <c r="T42" s="9"/>
      <c r="U42" s="9"/>
      <c r="V42" s="100" t="s">
        <v>58</v>
      </c>
      <c r="W42" s="101">
        <v>11.0</v>
      </c>
      <c r="X42" s="100"/>
      <c r="Y42" s="100" t="s">
        <v>209</v>
      </c>
      <c r="Z42" s="101">
        <v>6.0</v>
      </c>
    </row>
    <row r="43" ht="12.75" customHeight="1">
      <c r="A43" s="9"/>
      <c r="B43" s="10"/>
      <c r="C43" s="3"/>
      <c r="D43" s="9"/>
      <c r="E43" s="10"/>
      <c r="F43" s="3"/>
      <c r="G43" s="9"/>
      <c r="H43" s="10"/>
      <c r="I43" s="3"/>
      <c r="J43" s="9"/>
      <c r="K43" s="10"/>
      <c r="L43" s="3"/>
      <c r="M43" s="9"/>
      <c r="N43" s="10"/>
      <c r="O43" s="3"/>
      <c r="P43" s="9"/>
      <c r="Q43" s="10"/>
      <c r="R43" s="3"/>
      <c r="S43" s="9"/>
      <c r="T43" s="9"/>
      <c r="U43" s="9"/>
      <c r="V43" s="100" t="s">
        <v>93</v>
      </c>
      <c r="W43" s="101">
        <v>0.0</v>
      </c>
      <c r="X43" s="100"/>
      <c r="Y43" s="100" t="s">
        <v>221</v>
      </c>
      <c r="Z43" s="101">
        <v>0.0</v>
      </c>
    </row>
    <row r="44" ht="12.75" customHeight="1">
      <c r="A44" s="9" t="s">
        <v>26</v>
      </c>
      <c r="B44" s="10">
        <v>6.0</v>
      </c>
      <c r="C44" s="14" t="s">
        <v>9</v>
      </c>
      <c r="D44" s="1" t="s">
        <v>169</v>
      </c>
      <c r="E44" s="10">
        <v>9.0</v>
      </c>
      <c r="F44" s="14" t="s">
        <v>9</v>
      </c>
      <c r="G44" s="1" t="s">
        <v>170</v>
      </c>
      <c r="H44" s="10">
        <v>11.0</v>
      </c>
      <c r="I44" s="14" t="s">
        <v>9</v>
      </c>
      <c r="J44" s="1" t="s">
        <v>171</v>
      </c>
      <c r="K44" s="10">
        <v>2.0</v>
      </c>
      <c r="L44" s="14" t="s">
        <v>9</v>
      </c>
      <c r="M44" s="1" t="s">
        <v>172</v>
      </c>
      <c r="N44" s="10" t="s">
        <v>345</v>
      </c>
      <c r="O44" s="14"/>
      <c r="P44" s="12" t="s">
        <v>173</v>
      </c>
      <c r="Q44" s="10">
        <v>6.0</v>
      </c>
      <c r="R44" s="14" t="s">
        <v>9</v>
      </c>
      <c r="S44" s="1" t="s">
        <v>174</v>
      </c>
      <c r="T44" s="9"/>
      <c r="U44" s="9"/>
      <c r="V44" s="100" t="s">
        <v>97</v>
      </c>
      <c r="W44" s="101">
        <v>6.0</v>
      </c>
      <c r="X44" s="100"/>
      <c r="Y44" s="100" t="s">
        <v>239</v>
      </c>
      <c r="Z44" s="101">
        <v>6.0</v>
      </c>
    </row>
    <row r="45" ht="12.75" customHeight="1">
      <c r="A45" s="9"/>
      <c r="B45" s="10" t="s">
        <v>345</v>
      </c>
      <c r="C45" s="14"/>
      <c r="D45" s="9" t="s">
        <v>175</v>
      </c>
      <c r="E45" s="10">
        <v>2.0</v>
      </c>
      <c r="F45" s="14" t="s">
        <v>9</v>
      </c>
      <c r="G45" s="1" t="s">
        <v>176</v>
      </c>
      <c r="H45" s="10" t="s">
        <v>345</v>
      </c>
      <c r="I45" s="14"/>
      <c r="J45" s="12" t="s">
        <v>177</v>
      </c>
      <c r="K45" s="10">
        <v>0.0</v>
      </c>
      <c r="L45" s="14" t="s">
        <v>9</v>
      </c>
      <c r="M45" s="1" t="s">
        <v>178</v>
      </c>
      <c r="N45" s="10" t="s">
        <v>345</v>
      </c>
      <c r="O45" s="14"/>
      <c r="P45" s="9" t="s">
        <v>179</v>
      </c>
      <c r="Q45" s="10">
        <v>21.0</v>
      </c>
      <c r="R45" s="14" t="s">
        <v>9</v>
      </c>
      <c r="S45" s="1" t="s">
        <v>180</v>
      </c>
      <c r="T45" s="9"/>
      <c r="U45" s="9"/>
      <c r="V45" s="100" t="s">
        <v>116</v>
      </c>
      <c r="W45" s="101">
        <v>9.0</v>
      </c>
      <c r="X45" s="100"/>
      <c r="Y45" s="100" t="s">
        <v>251</v>
      </c>
      <c r="Z45" s="101">
        <v>5.0</v>
      </c>
    </row>
    <row r="46" ht="12.75" customHeight="1">
      <c r="A46" s="9"/>
      <c r="B46" s="10">
        <v>0.0</v>
      </c>
      <c r="C46" s="14" t="s">
        <v>9</v>
      </c>
      <c r="D46" s="5" t="s">
        <v>181</v>
      </c>
      <c r="E46" s="10" t="s">
        <v>345</v>
      </c>
      <c r="F46" s="14"/>
      <c r="G46" s="9" t="s">
        <v>182</v>
      </c>
      <c r="H46" s="10">
        <v>9.0</v>
      </c>
      <c r="I46" s="14" t="s">
        <v>9</v>
      </c>
      <c r="J46" s="5" t="s">
        <v>183</v>
      </c>
      <c r="K46" s="10" t="s">
        <v>345</v>
      </c>
      <c r="L46" s="14"/>
      <c r="M46" s="12" t="s">
        <v>184</v>
      </c>
      <c r="N46" s="10">
        <v>0.0</v>
      </c>
      <c r="O46" s="14" t="s">
        <v>9</v>
      </c>
      <c r="P46" s="4" t="s">
        <v>185</v>
      </c>
      <c r="Q46" s="10" t="s">
        <v>345</v>
      </c>
      <c r="R46" s="14"/>
      <c r="S46" s="12" t="s">
        <v>186</v>
      </c>
      <c r="T46" s="9"/>
      <c r="U46" s="9"/>
      <c r="V46" s="100" t="s">
        <v>123</v>
      </c>
      <c r="W46" s="101">
        <v>4.0</v>
      </c>
      <c r="X46" s="100"/>
      <c r="Y46" s="100" t="s">
        <v>269</v>
      </c>
      <c r="Z46" s="101">
        <v>0.0</v>
      </c>
    </row>
    <row r="47" ht="12.75" customHeight="1">
      <c r="A47" s="9"/>
      <c r="B47" s="10" t="s">
        <v>345</v>
      </c>
      <c r="C47" s="14"/>
      <c r="D47" s="12" t="s">
        <v>366</v>
      </c>
      <c r="E47" s="10" t="s">
        <v>345</v>
      </c>
      <c r="F47" s="14"/>
      <c r="G47" s="12" t="s">
        <v>188</v>
      </c>
      <c r="H47" s="10" t="s">
        <v>345</v>
      </c>
      <c r="I47" s="14"/>
      <c r="J47" s="12" t="s">
        <v>189</v>
      </c>
      <c r="K47" s="10" t="s">
        <v>345</v>
      </c>
      <c r="L47" s="14"/>
      <c r="M47" s="12" t="s">
        <v>37</v>
      </c>
      <c r="N47" s="10">
        <v>4.0</v>
      </c>
      <c r="O47" s="14" t="s">
        <v>9</v>
      </c>
      <c r="P47" s="5" t="s">
        <v>191</v>
      </c>
      <c r="Q47" s="10" t="s">
        <v>345</v>
      </c>
      <c r="R47" s="14"/>
      <c r="S47" s="9" t="s">
        <v>367</v>
      </c>
      <c r="T47" s="9"/>
      <c r="U47" s="9"/>
      <c r="V47" s="100"/>
      <c r="W47" s="101">
        <v>71.0</v>
      </c>
      <c r="X47" s="100"/>
      <c r="Y47" s="100"/>
      <c r="Z47" s="101">
        <v>48.0</v>
      </c>
    </row>
    <row r="48" ht="12.75" customHeight="1">
      <c r="A48" s="9"/>
      <c r="B48" s="10"/>
      <c r="C48" s="3"/>
      <c r="D48" s="9"/>
      <c r="E48" s="10"/>
      <c r="F48" s="3"/>
      <c r="G48" s="9"/>
      <c r="H48" s="10"/>
      <c r="I48" s="3"/>
      <c r="J48" s="9"/>
      <c r="K48" s="10"/>
      <c r="L48" s="3"/>
      <c r="M48" s="9"/>
      <c r="N48" s="10"/>
      <c r="O48" s="3"/>
      <c r="P48" s="9"/>
      <c r="Q48" s="10"/>
      <c r="R48" s="3"/>
      <c r="S48" s="9"/>
      <c r="T48" s="9"/>
      <c r="U48" s="9"/>
      <c r="V48" s="100"/>
      <c r="W48" s="101"/>
      <c r="X48" s="100"/>
      <c r="Y48" s="100"/>
      <c r="Z48" s="101"/>
    </row>
    <row r="49" ht="12.75" customHeight="1">
      <c r="A49" s="9" t="s">
        <v>51</v>
      </c>
      <c r="B49" s="10">
        <v>2.0</v>
      </c>
      <c r="C49" s="14" t="s">
        <v>9</v>
      </c>
      <c r="D49" s="1" t="s">
        <v>193</v>
      </c>
      <c r="E49" s="10">
        <v>0.0</v>
      </c>
      <c r="F49" s="14" t="s">
        <v>9</v>
      </c>
      <c r="G49" s="1" t="s">
        <v>194</v>
      </c>
      <c r="H49" s="10" t="s">
        <v>345</v>
      </c>
      <c r="I49" s="14"/>
      <c r="J49" s="9" t="s">
        <v>364</v>
      </c>
      <c r="K49" s="10">
        <v>0.0</v>
      </c>
      <c r="L49" s="14" t="s">
        <v>9</v>
      </c>
      <c r="M49" s="1" t="s">
        <v>196</v>
      </c>
      <c r="N49" s="10">
        <v>0.0</v>
      </c>
      <c r="O49" s="14" t="s">
        <v>9</v>
      </c>
      <c r="P49" s="1" t="s">
        <v>197</v>
      </c>
      <c r="Q49" s="10" t="s">
        <v>345</v>
      </c>
      <c r="R49" s="14"/>
      <c r="S49" s="12" t="s">
        <v>198</v>
      </c>
      <c r="T49" s="9"/>
      <c r="U49" s="9"/>
      <c r="V49" s="98" t="s">
        <v>325</v>
      </c>
      <c r="W49" s="99"/>
      <c r="X49" s="98"/>
      <c r="Y49" s="98" t="s">
        <v>323</v>
      </c>
      <c r="Z49" s="99"/>
    </row>
    <row r="50" ht="12.75" customHeight="1">
      <c r="A50" s="9"/>
      <c r="B50" s="10" t="s">
        <v>345</v>
      </c>
      <c r="C50" s="14"/>
      <c r="D50" s="9" t="s">
        <v>199</v>
      </c>
      <c r="E50" s="10">
        <v>0.0</v>
      </c>
      <c r="F50" s="14" t="s">
        <v>9</v>
      </c>
      <c r="G50" s="5" t="s">
        <v>200</v>
      </c>
      <c r="H50" s="10">
        <v>9.0</v>
      </c>
      <c r="I50" s="14" t="s">
        <v>9</v>
      </c>
      <c r="J50" s="1" t="s">
        <v>201</v>
      </c>
      <c r="K50" s="10" t="s">
        <v>345</v>
      </c>
      <c r="L50" s="14"/>
      <c r="M50" s="9" t="s">
        <v>202</v>
      </c>
      <c r="N50" s="10" t="s">
        <v>345</v>
      </c>
      <c r="O50" s="14"/>
      <c r="P50" s="9" t="s">
        <v>203</v>
      </c>
      <c r="Q50" s="10">
        <v>2.0</v>
      </c>
      <c r="R50" s="14" t="s">
        <v>9</v>
      </c>
      <c r="S50" s="1" t="s">
        <v>204</v>
      </c>
      <c r="T50" s="9"/>
      <c r="U50" s="9"/>
      <c r="V50" s="100" t="s">
        <v>152</v>
      </c>
      <c r="W50" s="101">
        <v>6.0</v>
      </c>
      <c r="X50" s="100"/>
      <c r="Y50" s="100" t="s">
        <v>13</v>
      </c>
      <c r="Z50" s="101">
        <v>14.0</v>
      </c>
    </row>
    <row r="51" ht="12.75" customHeight="1">
      <c r="A51" s="9"/>
      <c r="B51" s="10">
        <v>6.0</v>
      </c>
      <c r="C51" s="14" t="s">
        <v>9</v>
      </c>
      <c r="D51" s="1" t="s">
        <v>205</v>
      </c>
      <c r="E51" s="10" t="s">
        <v>345</v>
      </c>
      <c r="F51" s="14"/>
      <c r="G51" s="9" t="s">
        <v>206</v>
      </c>
      <c r="H51" s="10">
        <v>0.0</v>
      </c>
      <c r="I51" s="14" t="s">
        <v>9</v>
      </c>
      <c r="J51" s="4" t="s">
        <v>207</v>
      </c>
      <c r="K51" s="10">
        <v>16.0</v>
      </c>
      <c r="L51" s="14" t="s">
        <v>9</v>
      </c>
      <c r="M51" s="1" t="s">
        <v>208</v>
      </c>
      <c r="N51" s="10">
        <v>6.0</v>
      </c>
      <c r="O51" s="14" t="s">
        <v>9</v>
      </c>
      <c r="P51" s="1" t="s">
        <v>209</v>
      </c>
      <c r="Q51" s="10" t="s">
        <v>345</v>
      </c>
      <c r="R51" s="14"/>
      <c r="S51" s="9" t="s">
        <v>210</v>
      </c>
      <c r="T51" s="9"/>
      <c r="U51" s="9"/>
      <c r="V51" s="100" t="s">
        <v>170</v>
      </c>
      <c r="W51" s="101">
        <v>9.0</v>
      </c>
      <c r="X51" s="100"/>
      <c r="Y51" s="100" t="s">
        <v>32</v>
      </c>
      <c r="Z51" s="101">
        <v>0.0</v>
      </c>
    </row>
    <row r="52" ht="12.75" customHeight="1">
      <c r="A52" s="9"/>
      <c r="B52" s="10" t="s">
        <v>345</v>
      </c>
      <c r="C52" s="14"/>
      <c r="D52" s="12" t="s">
        <v>368</v>
      </c>
      <c r="E52" s="10" t="s">
        <v>345</v>
      </c>
      <c r="F52" s="14"/>
      <c r="G52" s="17" t="s">
        <v>212</v>
      </c>
      <c r="H52" s="10" t="s">
        <v>345</v>
      </c>
      <c r="I52" s="14"/>
      <c r="J52" s="12" t="s">
        <v>213</v>
      </c>
      <c r="K52" s="10" t="s">
        <v>345</v>
      </c>
      <c r="L52" s="14"/>
      <c r="M52" s="12" t="s">
        <v>349</v>
      </c>
      <c r="N52" s="10" t="s">
        <v>345</v>
      </c>
      <c r="O52" s="14"/>
      <c r="P52" s="12" t="s">
        <v>215</v>
      </c>
      <c r="Q52" s="10">
        <v>0.0</v>
      </c>
      <c r="R52" s="14" t="s">
        <v>9</v>
      </c>
      <c r="S52" s="5" t="s">
        <v>216</v>
      </c>
      <c r="T52" s="9"/>
      <c r="U52" s="9"/>
      <c r="V52" s="100" t="s">
        <v>176</v>
      </c>
      <c r="W52" s="101">
        <v>2.0</v>
      </c>
      <c r="X52" s="100"/>
      <c r="Y52" s="100" t="s">
        <v>38</v>
      </c>
      <c r="Z52" s="101">
        <v>0.0</v>
      </c>
    </row>
    <row r="53" ht="12.75" customHeight="1">
      <c r="A53" s="9"/>
      <c r="B53" s="10"/>
      <c r="C53" s="3"/>
      <c r="D53" s="9"/>
      <c r="E53" s="10"/>
      <c r="F53" s="3"/>
      <c r="G53" s="9"/>
      <c r="H53" s="10"/>
      <c r="I53" s="3"/>
      <c r="J53" s="9"/>
      <c r="K53" s="10"/>
      <c r="L53" s="3"/>
      <c r="M53" s="9"/>
      <c r="N53" s="10"/>
      <c r="O53" s="3"/>
      <c r="P53" s="9"/>
      <c r="Q53" s="10"/>
      <c r="R53" s="3"/>
      <c r="S53" s="9"/>
      <c r="T53" s="9"/>
      <c r="U53" s="9"/>
      <c r="V53" s="100" t="s">
        <v>194</v>
      </c>
      <c r="W53" s="101">
        <v>0.0</v>
      </c>
      <c r="X53" s="100"/>
      <c r="Y53" s="100" t="s">
        <v>57</v>
      </c>
      <c r="Z53" s="101">
        <v>2.0</v>
      </c>
    </row>
    <row r="54" ht="12.75" customHeight="1">
      <c r="A54" s="9" t="s">
        <v>76</v>
      </c>
      <c r="B54" s="10">
        <v>6.0</v>
      </c>
      <c r="C54" s="14" t="s">
        <v>9</v>
      </c>
      <c r="D54" s="1" t="s">
        <v>217</v>
      </c>
      <c r="E54" s="10">
        <v>2.0</v>
      </c>
      <c r="F54" s="14" t="s">
        <v>9</v>
      </c>
      <c r="G54" s="1" t="s">
        <v>218</v>
      </c>
      <c r="H54" s="10">
        <v>0.0</v>
      </c>
      <c r="I54" s="14" t="s">
        <v>9</v>
      </c>
      <c r="J54" s="1" t="s">
        <v>219</v>
      </c>
      <c r="K54" s="10" t="s">
        <v>345</v>
      </c>
      <c r="L54" s="14"/>
      <c r="M54" s="12" t="s">
        <v>220</v>
      </c>
      <c r="N54" s="10">
        <v>0.0</v>
      </c>
      <c r="O54" s="14" t="s">
        <v>9</v>
      </c>
      <c r="P54" s="1" t="s">
        <v>221</v>
      </c>
      <c r="Q54" s="10" t="s">
        <v>345</v>
      </c>
      <c r="R54" s="14"/>
      <c r="S54" s="9" t="s">
        <v>222</v>
      </c>
      <c r="T54" s="9"/>
      <c r="U54" s="9"/>
      <c r="V54" s="100" t="s">
        <v>200</v>
      </c>
      <c r="W54" s="101">
        <v>0.0</v>
      </c>
      <c r="X54" s="100"/>
      <c r="Y54" s="100" t="s">
        <v>75</v>
      </c>
      <c r="Z54" s="101">
        <v>0.0</v>
      </c>
    </row>
    <row r="55" ht="12.75" customHeight="1">
      <c r="A55" s="9"/>
      <c r="B55" s="10" t="s">
        <v>345</v>
      </c>
      <c r="C55" s="14"/>
      <c r="D55" s="12" t="s">
        <v>223</v>
      </c>
      <c r="E55" s="10" t="s">
        <v>345</v>
      </c>
      <c r="F55" s="14"/>
      <c r="G55" s="9" t="s">
        <v>224</v>
      </c>
      <c r="H55" s="10" t="s">
        <v>345</v>
      </c>
      <c r="I55" s="14"/>
      <c r="J55" s="9" t="s">
        <v>225</v>
      </c>
      <c r="K55" s="10">
        <v>0.0</v>
      </c>
      <c r="L55" s="14" t="s">
        <v>9</v>
      </c>
      <c r="M55" s="5" t="s">
        <v>226</v>
      </c>
      <c r="N55" s="10" t="s">
        <v>345</v>
      </c>
      <c r="O55" s="14"/>
      <c r="P55" s="9" t="s">
        <v>227</v>
      </c>
      <c r="Q55" s="10" t="s">
        <v>345</v>
      </c>
      <c r="R55" s="14"/>
      <c r="S55" s="12" t="s">
        <v>228</v>
      </c>
      <c r="T55" s="9"/>
      <c r="U55" s="9"/>
      <c r="V55" s="100" t="s">
        <v>218</v>
      </c>
      <c r="W55" s="101">
        <v>2.0</v>
      </c>
      <c r="X55" s="100"/>
      <c r="Y55" s="100" t="s">
        <v>82</v>
      </c>
      <c r="Z55" s="101">
        <v>6.0</v>
      </c>
    </row>
    <row r="56" ht="12.75" customHeight="1">
      <c r="A56" s="9"/>
      <c r="B56" s="10" t="s">
        <v>345</v>
      </c>
      <c r="C56" s="14"/>
      <c r="D56" s="12" t="s">
        <v>229</v>
      </c>
      <c r="E56" s="10" t="s">
        <v>345</v>
      </c>
      <c r="F56" s="14"/>
      <c r="G56" s="9" t="s">
        <v>230</v>
      </c>
      <c r="H56" s="10" t="s">
        <v>345</v>
      </c>
      <c r="I56" s="14"/>
      <c r="J56" s="12" t="s">
        <v>231</v>
      </c>
      <c r="K56" s="10" t="s">
        <v>345</v>
      </c>
      <c r="L56" s="14"/>
      <c r="M56" s="12" t="s">
        <v>369</v>
      </c>
      <c r="N56" s="10" t="s">
        <v>345</v>
      </c>
      <c r="O56" s="14"/>
      <c r="P56" s="9" t="s">
        <v>233</v>
      </c>
      <c r="Q56" s="10">
        <v>6.0</v>
      </c>
      <c r="R56" s="14" t="s">
        <v>9</v>
      </c>
      <c r="S56" s="5" t="s">
        <v>234</v>
      </c>
      <c r="T56" s="9"/>
      <c r="U56" s="9"/>
      <c r="V56" s="100" t="s">
        <v>242</v>
      </c>
      <c r="W56" s="101">
        <v>2.0</v>
      </c>
      <c r="X56" s="100"/>
      <c r="Y56" s="100" t="s">
        <v>102</v>
      </c>
      <c r="Z56" s="101">
        <v>9.0</v>
      </c>
    </row>
    <row r="57" ht="12.75" customHeight="1">
      <c r="A57" s="9"/>
      <c r="B57" s="10"/>
      <c r="C57" s="3"/>
      <c r="D57" s="9"/>
      <c r="E57" s="10"/>
      <c r="F57" s="3"/>
      <c r="G57" s="9"/>
      <c r="H57" s="10"/>
      <c r="I57" s="3"/>
      <c r="J57" s="9"/>
      <c r="K57" s="10"/>
      <c r="L57" s="3"/>
      <c r="M57" s="9"/>
      <c r="N57" s="10"/>
      <c r="O57" s="3"/>
      <c r="P57" s="9"/>
      <c r="Q57" s="10"/>
      <c r="R57" s="3"/>
      <c r="S57" s="9"/>
      <c r="T57" s="9"/>
      <c r="U57" s="9"/>
      <c r="V57" s="100" t="s">
        <v>248</v>
      </c>
      <c r="W57" s="101">
        <v>0.0</v>
      </c>
      <c r="X57" s="100"/>
      <c r="Y57" s="100" t="s">
        <v>362</v>
      </c>
      <c r="Z57" s="101">
        <v>0.0</v>
      </c>
    </row>
    <row r="58" ht="12.75" customHeight="1">
      <c r="A58" s="9" t="s">
        <v>96</v>
      </c>
      <c r="B58" s="10">
        <v>1.0</v>
      </c>
      <c r="C58" s="14" t="s">
        <v>9</v>
      </c>
      <c r="D58" s="1" t="s">
        <v>235</v>
      </c>
      <c r="E58" s="10" t="s">
        <v>345</v>
      </c>
      <c r="F58" s="14"/>
      <c r="G58" s="9" t="s">
        <v>236</v>
      </c>
      <c r="H58" s="10" t="s">
        <v>345</v>
      </c>
      <c r="I58" s="14"/>
      <c r="J58" s="9" t="s">
        <v>370</v>
      </c>
      <c r="K58" s="10">
        <v>4.0</v>
      </c>
      <c r="L58" s="14" t="s">
        <v>9</v>
      </c>
      <c r="M58" s="5" t="s">
        <v>238</v>
      </c>
      <c r="N58" s="10">
        <v>6.0</v>
      </c>
      <c r="O58" s="14" t="s">
        <v>9</v>
      </c>
      <c r="P58" s="5" t="s">
        <v>239</v>
      </c>
      <c r="Q58" s="10">
        <v>7.0</v>
      </c>
      <c r="R58" s="14" t="s">
        <v>9</v>
      </c>
      <c r="S58" s="1" t="s">
        <v>240</v>
      </c>
      <c r="T58" s="9"/>
      <c r="U58" s="9"/>
      <c r="V58" s="100" t="s">
        <v>266</v>
      </c>
      <c r="W58" s="101">
        <v>0.0</v>
      </c>
      <c r="X58" s="100"/>
      <c r="Y58" s="100" t="s">
        <v>134</v>
      </c>
      <c r="Z58" s="101">
        <v>0.0</v>
      </c>
    </row>
    <row r="59" ht="12.75" customHeight="1">
      <c r="A59" s="9"/>
      <c r="B59" s="10" t="s">
        <v>345</v>
      </c>
      <c r="C59" s="14"/>
      <c r="D59" s="12" t="s">
        <v>371</v>
      </c>
      <c r="E59" s="10">
        <v>2.0</v>
      </c>
      <c r="F59" s="14" t="s">
        <v>9</v>
      </c>
      <c r="G59" s="1" t="s">
        <v>242</v>
      </c>
      <c r="H59" s="10">
        <v>11.0</v>
      </c>
      <c r="I59" s="14" t="s">
        <v>9</v>
      </c>
      <c r="J59" s="1" t="s">
        <v>237</v>
      </c>
      <c r="K59" s="10" t="s">
        <v>345</v>
      </c>
      <c r="L59" s="14"/>
      <c r="M59" s="12" t="s">
        <v>244</v>
      </c>
      <c r="N59" s="10" t="s">
        <v>345</v>
      </c>
      <c r="O59" s="14"/>
      <c r="P59" s="12" t="s">
        <v>245</v>
      </c>
      <c r="Q59" s="10" t="s">
        <v>345</v>
      </c>
      <c r="R59" s="14"/>
      <c r="S59" s="12" t="s">
        <v>246</v>
      </c>
      <c r="T59" s="9"/>
      <c r="U59" s="9"/>
      <c r="V59" s="100"/>
      <c r="W59" s="101">
        <v>21.0</v>
      </c>
      <c r="X59" s="100"/>
      <c r="Y59" s="100"/>
      <c r="Z59" s="101">
        <v>31.0</v>
      </c>
    </row>
    <row r="60" ht="12.75" customHeight="1">
      <c r="A60" s="9"/>
      <c r="B60" s="10"/>
      <c r="C60" s="3"/>
      <c r="D60" s="9"/>
      <c r="E60" s="10"/>
      <c r="F60" s="3"/>
      <c r="G60" s="9"/>
      <c r="H60" s="10"/>
      <c r="I60" s="3"/>
      <c r="J60" s="9"/>
      <c r="K60" s="10"/>
      <c r="L60" s="3"/>
      <c r="M60" s="9"/>
      <c r="N60" s="10"/>
      <c r="O60" s="3"/>
      <c r="P60" s="9"/>
      <c r="Q60" s="10"/>
      <c r="R60" s="3"/>
      <c r="S60" s="9"/>
      <c r="T60" s="9"/>
      <c r="U60" s="9"/>
      <c r="V60" s="100"/>
      <c r="W60" s="101"/>
      <c r="X60" s="100"/>
      <c r="Y60" s="100"/>
      <c r="Z60" s="101"/>
    </row>
    <row r="61" ht="12.75" customHeight="1">
      <c r="A61" s="9" t="s">
        <v>109</v>
      </c>
      <c r="B61" s="10">
        <v>6.0</v>
      </c>
      <c r="C61" s="14" t="s">
        <v>9</v>
      </c>
      <c r="D61" s="1" t="s">
        <v>247</v>
      </c>
      <c r="E61" s="10">
        <v>0.0</v>
      </c>
      <c r="F61" s="14" t="s">
        <v>9</v>
      </c>
      <c r="G61" s="5" t="s">
        <v>248</v>
      </c>
      <c r="H61" s="10">
        <v>12.0</v>
      </c>
      <c r="I61" s="14" t="s">
        <v>9</v>
      </c>
      <c r="J61" s="5" t="s">
        <v>249</v>
      </c>
      <c r="K61" s="10" t="s">
        <v>345</v>
      </c>
      <c r="L61" s="14"/>
      <c r="M61" s="12" t="s">
        <v>250</v>
      </c>
      <c r="N61" s="10">
        <v>5.0</v>
      </c>
      <c r="O61" s="14" t="s">
        <v>9</v>
      </c>
      <c r="P61" s="1" t="s">
        <v>251</v>
      </c>
      <c r="Q61" s="10">
        <v>13.0</v>
      </c>
      <c r="R61" s="14" t="s">
        <v>9</v>
      </c>
      <c r="S61" s="5" t="s">
        <v>252</v>
      </c>
      <c r="T61" s="9"/>
      <c r="U61" s="9"/>
      <c r="V61" s="98" t="s">
        <v>329</v>
      </c>
      <c r="W61" s="99"/>
      <c r="X61" s="98"/>
      <c r="Y61" s="98" t="s">
        <v>320</v>
      </c>
      <c r="Z61" s="99"/>
    </row>
    <row r="62" ht="12.75" customHeight="1">
      <c r="A62" s="9"/>
      <c r="B62" s="10" t="s">
        <v>345</v>
      </c>
      <c r="C62" s="14"/>
      <c r="D62" s="9" t="s">
        <v>253</v>
      </c>
      <c r="E62" s="10" t="s">
        <v>345</v>
      </c>
      <c r="F62" s="14"/>
      <c r="G62" s="12" t="s">
        <v>254</v>
      </c>
      <c r="H62" s="10" t="s">
        <v>345</v>
      </c>
      <c r="I62" s="14"/>
      <c r="J62" s="12" t="s">
        <v>255</v>
      </c>
      <c r="K62" s="10">
        <v>6.0</v>
      </c>
      <c r="L62" s="14" t="s">
        <v>9</v>
      </c>
      <c r="M62" s="1" t="s">
        <v>256</v>
      </c>
      <c r="N62" s="10" t="s">
        <v>345</v>
      </c>
      <c r="O62" s="14"/>
      <c r="P62" s="12" t="s">
        <v>257</v>
      </c>
      <c r="Q62" s="10" t="s">
        <v>345</v>
      </c>
      <c r="R62" s="14"/>
      <c r="S62" s="12" t="s">
        <v>258</v>
      </c>
      <c r="T62" s="9"/>
      <c r="U62" s="9"/>
      <c r="V62" s="100" t="s">
        <v>162</v>
      </c>
      <c r="W62" s="101">
        <v>11.0</v>
      </c>
      <c r="X62" s="100"/>
      <c r="Y62" s="100" t="s">
        <v>10</v>
      </c>
      <c r="Z62" s="101">
        <v>21.0</v>
      </c>
    </row>
    <row r="63" ht="12.75" customHeight="1">
      <c r="A63" s="9"/>
      <c r="B63" s="10"/>
      <c r="C63" s="3"/>
      <c r="D63" s="9"/>
      <c r="E63" s="10"/>
      <c r="F63" s="3"/>
      <c r="G63" s="9"/>
      <c r="H63" s="10"/>
      <c r="I63" s="3"/>
      <c r="J63" s="9"/>
      <c r="K63" s="10"/>
      <c r="L63" s="3"/>
      <c r="M63" s="9"/>
      <c r="N63" s="10"/>
      <c r="O63" s="3"/>
      <c r="P63" s="9"/>
      <c r="Q63" s="10"/>
      <c r="R63" s="3"/>
      <c r="S63" s="9"/>
      <c r="T63" s="9"/>
      <c r="U63" s="9"/>
      <c r="V63" s="100" t="s">
        <v>174</v>
      </c>
      <c r="W63" s="101">
        <v>6.0</v>
      </c>
      <c r="X63" s="100"/>
      <c r="Y63" s="100" t="s">
        <v>29</v>
      </c>
      <c r="Z63" s="101">
        <v>1.0</v>
      </c>
    </row>
    <row r="64" ht="12.75" customHeight="1">
      <c r="A64" s="9" t="s">
        <v>122</v>
      </c>
      <c r="B64" s="10">
        <v>0.0</v>
      </c>
      <c r="C64" s="14" t="s">
        <v>9</v>
      </c>
      <c r="D64" s="5" t="s">
        <v>259</v>
      </c>
      <c r="E64" s="10" t="s">
        <v>345</v>
      </c>
      <c r="F64" s="14"/>
      <c r="G64" s="9" t="s">
        <v>260</v>
      </c>
      <c r="H64" s="10">
        <v>5.0</v>
      </c>
      <c r="I64" s="14" t="s">
        <v>9</v>
      </c>
      <c r="J64" s="1" t="s">
        <v>261</v>
      </c>
      <c r="K64" s="10">
        <v>4.0</v>
      </c>
      <c r="L64" s="14" t="s">
        <v>9</v>
      </c>
      <c r="M64" s="5" t="s">
        <v>262</v>
      </c>
      <c r="N64" s="10" t="s">
        <v>345</v>
      </c>
      <c r="O64" s="14"/>
      <c r="P64" s="12" t="s">
        <v>263</v>
      </c>
      <c r="Q64" s="10">
        <v>0.0</v>
      </c>
      <c r="R64" s="14" t="s">
        <v>9</v>
      </c>
      <c r="S64" s="1" t="s">
        <v>264</v>
      </c>
      <c r="T64" s="9"/>
      <c r="U64" s="9"/>
      <c r="V64" s="100" t="s">
        <v>180</v>
      </c>
      <c r="W64" s="101">
        <v>21.0</v>
      </c>
      <c r="X64" s="100"/>
      <c r="Y64" s="100" t="s">
        <v>35</v>
      </c>
      <c r="Z64" s="101">
        <v>0.0</v>
      </c>
    </row>
    <row r="65" ht="12.75" customHeight="1">
      <c r="A65" s="9"/>
      <c r="B65" s="10" t="s">
        <v>345</v>
      </c>
      <c r="C65" s="14"/>
      <c r="D65" s="9" t="s">
        <v>265</v>
      </c>
      <c r="E65" s="10">
        <v>0.0</v>
      </c>
      <c r="F65" s="14" t="s">
        <v>9</v>
      </c>
      <c r="G65" s="5" t="s">
        <v>266</v>
      </c>
      <c r="H65" s="10" t="s">
        <v>345</v>
      </c>
      <c r="I65" s="14"/>
      <c r="J65" s="9" t="s">
        <v>267</v>
      </c>
      <c r="K65" s="10" t="s">
        <v>345</v>
      </c>
      <c r="L65" s="14"/>
      <c r="M65" s="9" t="s">
        <v>268</v>
      </c>
      <c r="N65" s="10">
        <v>0.0</v>
      </c>
      <c r="O65" s="14" t="s">
        <v>9</v>
      </c>
      <c r="P65" s="1" t="s">
        <v>269</v>
      </c>
      <c r="Q65" s="10" t="s">
        <v>345</v>
      </c>
      <c r="R65" s="14"/>
      <c r="S65" s="12" t="s">
        <v>270</v>
      </c>
      <c r="T65" s="9"/>
      <c r="U65" s="9"/>
      <c r="V65" s="100" t="s">
        <v>204</v>
      </c>
      <c r="W65" s="101">
        <v>2.0</v>
      </c>
      <c r="X65" s="100"/>
      <c r="Y65" s="100" t="s">
        <v>54</v>
      </c>
      <c r="Z65" s="101">
        <v>0.0</v>
      </c>
    </row>
    <row r="66" ht="12.75" customHeight="1">
      <c r="A66" s="9"/>
      <c r="B66" s="2"/>
      <c r="C66" s="3"/>
      <c r="D66" s="9"/>
      <c r="E66" s="10"/>
      <c r="F66" s="3"/>
      <c r="G66" s="9"/>
      <c r="H66" s="10"/>
      <c r="I66" s="3"/>
      <c r="J66" s="9"/>
      <c r="K66" s="10"/>
      <c r="L66" s="3"/>
      <c r="M66" s="9"/>
      <c r="N66" s="10"/>
      <c r="O66" s="3"/>
      <c r="P66" s="9"/>
      <c r="Q66" s="10"/>
      <c r="R66" s="3"/>
      <c r="S66" s="9"/>
      <c r="T66" s="9"/>
      <c r="U66" s="9"/>
      <c r="V66" s="100" t="s">
        <v>216</v>
      </c>
      <c r="W66" s="101">
        <v>0.0</v>
      </c>
      <c r="X66" s="100"/>
      <c r="Y66" s="100" t="s">
        <v>66</v>
      </c>
      <c r="Z66" s="101">
        <v>8.0</v>
      </c>
    </row>
    <row r="67" ht="12.75" customHeight="1">
      <c r="A67" s="19"/>
      <c r="B67" s="20"/>
      <c r="C67" s="21"/>
      <c r="D67" s="22">
        <v>35.0</v>
      </c>
      <c r="E67" s="20"/>
      <c r="F67" s="21"/>
      <c r="G67" s="22">
        <v>21.0</v>
      </c>
      <c r="H67" s="20"/>
      <c r="I67" s="21"/>
      <c r="J67" s="22">
        <v>65.0</v>
      </c>
      <c r="K67" s="20"/>
      <c r="L67" s="21"/>
      <c r="M67" s="22">
        <v>36.0</v>
      </c>
      <c r="N67" s="20"/>
      <c r="O67" s="21"/>
      <c r="P67" s="22">
        <v>48.0</v>
      </c>
      <c r="Q67" s="20"/>
      <c r="R67" s="21"/>
      <c r="S67" s="22">
        <v>66.0</v>
      </c>
      <c r="T67" s="19"/>
      <c r="U67" s="19"/>
      <c r="V67" s="100" t="s">
        <v>234</v>
      </c>
      <c r="W67" s="101">
        <v>6.0</v>
      </c>
      <c r="X67" s="100"/>
      <c r="Y67" s="100" t="s">
        <v>91</v>
      </c>
      <c r="Z67" s="101">
        <v>8.0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6"/>
      <c r="S68" s="9"/>
      <c r="T68" s="9"/>
      <c r="U68" s="9"/>
      <c r="V68" s="100" t="s">
        <v>240</v>
      </c>
      <c r="W68" s="101">
        <v>7.0</v>
      </c>
      <c r="X68" s="100"/>
      <c r="Y68" s="100" t="s">
        <v>99</v>
      </c>
      <c r="Z68" s="101">
        <v>4.0</v>
      </c>
    </row>
    <row r="69" ht="12.75" customHeight="1">
      <c r="A69" s="9" t="s">
        <v>135</v>
      </c>
      <c r="B69" s="2"/>
      <c r="C69" s="3"/>
      <c r="D69" s="9" t="s">
        <v>271</v>
      </c>
      <c r="E69" s="2"/>
      <c r="F69" s="6"/>
      <c r="G69" s="9" t="s">
        <v>272</v>
      </c>
      <c r="H69" s="2"/>
      <c r="I69" s="6"/>
      <c r="J69" s="9" t="s">
        <v>273</v>
      </c>
      <c r="K69" s="2"/>
      <c r="L69" s="6"/>
      <c r="M69" s="9" t="s">
        <v>274</v>
      </c>
      <c r="N69" s="2"/>
      <c r="O69" s="6"/>
      <c r="P69" s="9" t="s">
        <v>275</v>
      </c>
      <c r="Q69" s="2"/>
      <c r="R69" s="6"/>
      <c r="S69" s="9" t="s">
        <v>276</v>
      </c>
      <c r="T69" s="9"/>
      <c r="U69" s="9"/>
      <c r="V69" s="100" t="s">
        <v>252</v>
      </c>
      <c r="W69" s="101">
        <v>13.0</v>
      </c>
      <c r="X69" s="100"/>
      <c r="Y69" s="100" t="s">
        <v>112</v>
      </c>
      <c r="Z69" s="101">
        <v>0.0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277</v>
      </c>
      <c r="K70" s="2"/>
      <c r="L70" s="6"/>
      <c r="M70" s="9" t="s">
        <v>95</v>
      </c>
      <c r="N70" s="2"/>
      <c r="O70" s="6"/>
      <c r="P70" s="9"/>
      <c r="Q70" s="2"/>
      <c r="R70" s="6"/>
      <c r="S70" s="9"/>
      <c r="T70" s="9"/>
      <c r="U70" s="9"/>
      <c r="V70" s="100" t="s">
        <v>264</v>
      </c>
      <c r="W70" s="101">
        <v>0.0</v>
      </c>
      <c r="X70" s="100"/>
      <c r="Y70" s="100" t="s">
        <v>131</v>
      </c>
      <c r="Z70" s="101">
        <v>0.0</v>
      </c>
    </row>
    <row r="71" ht="12.75" customHeight="1">
      <c r="A71" s="9"/>
      <c r="B71" s="2"/>
      <c r="C71" s="3"/>
      <c r="D71" s="9"/>
      <c r="E71" s="2"/>
      <c r="F71" s="6"/>
      <c r="G71" s="28"/>
      <c r="H71" s="2"/>
      <c r="I71" s="6"/>
      <c r="J71" s="28"/>
      <c r="K71" s="2"/>
      <c r="L71" s="6"/>
      <c r="M71" s="28"/>
      <c r="N71" s="2"/>
      <c r="O71" s="6"/>
      <c r="P71" s="28"/>
      <c r="Q71" s="2"/>
      <c r="R71" s="6"/>
      <c r="S71" s="28"/>
      <c r="T71" s="9"/>
      <c r="U71" s="9"/>
      <c r="V71" s="100"/>
      <c r="W71" s="101">
        <v>66.0</v>
      </c>
      <c r="X71" s="100"/>
      <c r="Y71" s="100"/>
      <c r="Z71" s="101">
        <v>42.0</v>
      </c>
    </row>
    <row r="72" ht="12.75" customHeight="1">
      <c r="A72" s="9" t="s">
        <v>143</v>
      </c>
      <c r="B72" s="2"/>
      <c r="C72" s="3"/>
      <c r="D72" s="12"/>
      <c r="F72" s="29"/>
      <c r="G72" s="25"/>
      <c r="H72" s="25"/>
      <c r="J72" s="25"/>
      <c r="K72" s="26"/>
      <c r="M72" s="25"/>
      <c r="N72" s="26"/>
      <c r="P72" s="25"/>
      <c r="Q72" s="25"/>
      <c r="R72" s="30"/>
      <c r="S72" s="25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29"/>
      <c r="G73" s="27"/>
      <c r="H73" s="25"/>
      <c r="J73" s="27"/>
      <c r="K73" s="26"/>
      <c r="M73" s="27"/>
      <c r="N73" s="28"/>
      <c r="P73" s="27"/>
      <c r="Q73" s="25"/>
      <c r="R73" s="30"/>
      <c r="S73" s="25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29"/>
      <c r="G74" s="25"/>
      <c r="H74" s="25"/>
      <c r="J74" s="27"/>
      <c r="K74" s="26"/>
      <c r="M74" s="27"/>
      <c r="N74" s="26"/>
      <c r="P74" s="27"/>
      <c r="Q74" s="25"/>
      <c r="R74" s="30"/>
      <c r="S74" s="25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1.29"/>
    <col customWidth="1" min="23" max="23" width="4.0"/>
    <col customWidth="1" min="24" max="24" width="3.0"/>
    <col customWidth="1" min="25" max="25" width="24.0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8" t="s">
        <v>327</v>
      </c>
      <c r="W1" s="99"/>
      <c r="X1" s="98"/>
      <c r="Y1" s="98" t="s">
        <v>324</v>
      </c>
      <c r="Z1" s="99"/>
    </row>
    <row r="2" ht="12.75" customHeight="1">
      <c r="A2" s="9" t="s">
        <v>6</v>
      </c>
      <c r="B2" s="10" t="s">
        <v>345</v>
      </c>
      <c r="C2" s="14"/>
      <c r="D2" s="9" t="s">
        <v>7</v>
      </c>
      <c r="E2" s="10">
        <v>8.0</v>
      </c>
      <c r="F2" s="14" t="s">
        <v>9</v>
      </c>
      <c r="G2" s="5" t="s">
        <v>8</v>
      </c>
      <c r="H2" s="10" t="s">
        <v>345</v>
      </c>
      <c r="I2" s="14"/>
      <c r="J2" s="9" t="s">
        <v>10</v>
      </c>
      <c r="K2" s="10">
        <v>15.0</v>
      </c>
      <c r="L2" s="14" t="s">
        <v>9</v>
      </c>
      <c r="M2" s="5" t="s">
        <v>11</v>
      </c>
      <c r="N2" s="10">
        <v>13.0</v>
      </c>
      <c r="O2" s="14" t="s">
        <v>9</v>
      </c>
      <c r="P2" s="1" t="s">
        <v>12</v>
      </c>
      <c r="Q2" s="10">
        <v>19.0</v>
      </c>
      <c r="R2" s="14" t="s">
        <v>9</v>
      </c>
      <c r="S2" s="5" t="s">
        <v>13</v>
      </c>
      <c r="T2" s="9"/>
      <c r="U2" s="9"/>
      <c r="V2" s="100" t="s">
        <v>160</v>
      </c>
      <c r="W2" s="101">
        <v>3.0</v>
      </c>
      <c r="X2" s="100"/>
      <c r="Y2" s="100" t="s">
        <v>151</v>
      </c>
      <c r="Z2" s="101">
        <v>5.0</v>
      </c>
    </row>
    <row r="3" ht="12.75" customHeight="1">
      <c r="A3" s="9"/>
      <c r="B3" s="10" t="s">
        <v>345</v>
      </c>
      <c r="C3" s="14"/>
      <c r="D3" s="9" t="s">
        <v>14</v>
      </c>
      <c r="E3" s="10" t="s">
        <v>345</v>
      </c>
      <c r="F3" s="14"/>
      <c r="G3" s="12" t="s">
        <v>15</v>
      </c>
      <c r="H3" s="10" t="s">
        <v>345</v>
      </c>
      <c r="I3" s="14"/>
      <c r="J3" s="9" t="s">
        <v>16</v>
      </c>
      <c r="K3" s="10" t="s">
        <v>345</v>
      </c>
      <c r="L3" s="14"/>
      <c r="M3" s="9" t="s">
        <v>17</v>
      </c>
      <c r="N3" s="10" t="s">
        <v>345</v>
      </c>
      <c r="O3" s="14"/>
      <c r="P3" s="9" t="s">
        <v>166</v>
      </c>
      <c r="Q3" s="10" t="s">
        <v>345</v>
      </c>
      <c r="R3" s="14"/>
      <c r="S3" s="9" t="s">
        <v>346</v>
      </c>
      <c r="T3" s="9"/>
      <c r="U3" s="9"/>
      <c r="V3" s="100" t="s">
        <v>172</v>
      </c>
      <c r="W3" s="101">
        <v>20.0</v>
      </c>
      <c r="X3" s="100"/>
      <c r="Y3" s="100" t="s">
        <v>169</v>
      </c>
      <c r="Z3" s="101">
        <v>0.0</v>
      </c>
    </row>
    <row r="4" ht="12.75" customHeight="1">
      <c r="A4" s="9"/>
      <c r="B4" s="10">
        <v>0.0</v>
      </c>
      <c r="C4" s="14" t="s">
        <v>9</v>
      </c>
      <c r="D4" s="5" t="s">
        <v>20</v>
      </c>
      <c r="E4" s="10" t="s">
        <v>345</v>
      </c>
      <c r="F4" s="14"/>
      <c r="G4" s="12" t="s">
        <v>165</v>
      </c>
      <c r="H4" s="10">
        <v>26.0</v>
      </c>
      <c r="I4" s="14" t="s">
        <v>9</v>
      </c>
      <c r="J4" s="5" t="s">
        <v>22</v>
      </c>
      <c r="K4" s="10" t="s">
        <v>345</v>
      </c>
      <c r="L4" s="14"/>
      <c r="M4" s="12" t="s">
        <v>23</v>
      </c>
      <c r="N4" s="10" t="s">
        <v>345</v>
      </c>
      <c r="O4" s="14"/>
      <c r="P4" s="9" t="s">
        <v>18</v>
      </c>
      <c r="Q4" s="10" t="s">
        <v>345</v>
      </c>
      <c r="R4" s="14"/>
      <c r="S4" s="12" t="s">
        <v>347</v>
      </c>
      <c r="T4" s="9"/>
      <c r="U4" s="9"/>
      <c r="V4" s="100" t="s">
        <v>178</v>
      </c>
      <c r="W4" s="101">
        <v>6.0</v>
      </c>
      <c r="X4" s="100"/>
      <c r="Y4" s="100" t="s">
        <v>181</v>
      </c>
      <c r="Z4" s="101">
        <v>15.0</v>
      </c>
    </row>
    <row r="5" ht="12.75" customHeight="1">
      <c r="A5" s="9"/>
      <c r="B5" s="10"/>
      <c r="C5" s="3"/>
      <c r="D5" s="9"/>
      <c r="E5" s="10"/>
      <c r="F5" s="3"/>
      <c r="G5" s="9"/>
      <c r="H5" s="10" t="s">
        <v>345</v>
      </c>
      <c r="I5" s="3"/>
      <c r="J5" s="9"/>
      <c r="K5" s="10"/>
      <c r="L5" s="3"/>
      <c r="M5" s="9"/>
      <c r="N5" s="10"/>
      <c r="O5" s="3"/>
      <c r="P5" s="9"/>
      <c r="Q5" s="10"/>
      <c r="R5" s="3"/>
      <c r="S5" s="9"/>
      <c r="T5" s="9"/>
      <c r="U5" s="9"/>
      <c r="V5" s="100" t="s">
        <v>196</v>
      </c>
      <c r="W5" s="101">
        <v>3.0</v>
      </c>
      <c r="X5" s="100"/>
      <c r="Y5" s="100" t="s">
        <v>193</v>
      </c>
      <c r="Z5" s="101">
        <v>6.0</v>
      </c>
    </row>
    <row r="6" ht="12.75" customHeight="1">
      <c r="A6" s="9" t="s">
        <v>26</v>
      </c>
      <c r="B6" s="10" t="s">
        <v>345</v>
      </c>
      <c r="C6" s="14"/>
      <c r="D6" s="9" t="s">
        <v>27</v>
      </c>
      <c r="E6" s="10">
        <v>6.0</v>
      </c>
      <c r="F6" s="14" t="s">
        <v>9</v>
      </c>
      <c r="G6" s="1" t="s">
        <v>28</v>
      </c>
      <c r="H6" s="10">
        <v>14.0</v>
      </c>
      <c r="I6" s="14" t="s">
        <v>9</v>
      </c>
      <c r="J6" s="5" t="s">
        <v>29</v>
      </c>
      <c r="K6" s="10">
        <v>6.0</v>
      </c>
      <c r="L6" s="14" t="s">
        <v>9</v>
      </c>
      <c r="M6" s="5" t="s">
        <v>30</v>
      </c>
      <c r="N6" s="10">
        <v>0.0</v>
      </c>
      <c r="O6" s="14" t="s">
        <v>9</v>
      </c>
      <c r="P6" s="1" t="s">
        <v>31</v>
      </c>
      <c r="Q6" s="10">
        <v>0.0</v>
      </c>
      <c r="R6" s="14" t="s">
        <v>9</v>
      </c>
      <c r="S6" s="5" t="s">
        <v>32</v>
      </c>
      <c r="T6" s="9"/>
      <c r="U6" s="9"/>
      <c r="V6" s="100" t="s">
        <v>208</v>
      </c>
      <c r="W6" s="101">
        <v>6.0</v>
      </c>
      <c r="X6" s="100"/>
      <c r="Y6" s="100" t="s">
        <v>205</v>
      </c>
      <c r="Z6" s="101">
        <v>0.0</v>
      </c>
    </row>
    <row r="7" ht="12.75" customHeight="1">
      <c r="A7" s="9"/>
      <c r="B7" s="10">
        <v>0.0</v>
      </c>
      <c r="C7" s="14" t="s">
        <v>9</v>
      </c>
      <c r="D7" s="5" t="s">
        <v>33</v>
      </c>
      <c r="E7" s="10" t="s">
        <v>345</v>
      </c>
      <c r="F7" s="14"/>
      <c r="G7" s="12" t="s">
        <v>34</v>
      </c>
      <c r="H7" s="10">
        <v>6.0</v>
      </c>
      <c r="I7" s="14" t="s">
        <v>9</v>
      </c>
      <c r="J7" s="5" t="s">
        <v>35</v>
      </c>
      <c r="K7" s="10" t="s">
        <v>345</v>
      </c>
      <c r="L7" s="14"/>
      <c r="M7" s="9" t="s">
        <v>36</v>
      </c>
      <c r="N7" s="10" t="s">
        <v>345</v>
      </c>
      <c r="O7" s="14"/>
      <c r="P7" s="9" t="s">
        <v>348</v>
      </c>
      <c r="Q7" s="10" t="s">
        <v>345</v>
      </c>
      <c r="R7" s="14"/>
      <c r="S7" s="12" t="s">
        <v>38</v>
      </c>
      <c r="T7" s="9"/>
      <c r="U7" s="9"/>
      <c r="V7" s="100" t="s">
        <v>226</v>
      </c>
      <c r="W7" s="101">
        <v>8.0</v>
      </c>
      <c r="X7" s="100"/>
      <c r="Y7" s="100" t="s">
        <v>217</v>
      </c>
      <c r="Z7" s="101">
        <v>0.0</v>
      </c>
    </row>
    <row r="8" ht="12.75" customHeight="1">
      <c r="A8" s="9"/>
      <c r="B8" s="10">
        <v>5.0</v>
      </c>
      <c r="C8" s="14" t="s">
        <v>9</v>
      </c>
      <c r="D8" s="5" t="s">
        <v>39</v>
      </c>
      <c r="E8" s="10">
        <v>0.0</v>
      </c>
      <c r="F8" s="14" t="s">
        <v>9</v>
      </c>
      <c r="G8" s="1" t="s">
        <v>351</v>
      </c>
      <c r="H8" s="10" t="s">
        <v>345</v>
      </c>
      <c r="I8" s="14"/>
      <c r="J8" s="9" t="s">
        <v>352</v>
      </c>
      <c r="K8" s="10" t="s">
        <v>345</v>
      </c>
      <c r="L8" s="14"/>
      <c r="M8" s="12" t="s">
        <v>42</v>
      </c>
      <c r="N8" s="10">
        <v>6.0</v>
      </c>
      <c r="O8" s="14" t="s">
        <v>9</v>
      </c>
      <c r="P8" s="15" t="s">
        <v>43</v>
      </c>
      <c r="Q8" s="10">
        <v>3.0</v>
      </c>
      <c r="R8" s="14" t="s">
        <v>9</v>
      </c>
      <c r="S8" s="5" t="s">
        <v>372</v>
      </c>
      <c r="T8" s="9"/>
      <c r="U8" s="9"/>
      <c r="V8" s="100" t="s">
        <v>238</v>
      </c>
      <c r="W8" s="101">
        <v>8.0</v>
      </c>
      <c r="X8" s="100"/>
      <c r="Y8" s="100" t="s">
        <v>235</v>
      </c>
      <c r="Z8" s="101">
        <v>7.0</v>
      </c>
    </row>
    <row r="9" ht="12.75" customHeight="1">
      <c r="A9" s="9"/>
      <c r="B9" s="10" t="s">
        <v>345</v>
      </c>
      <c r="C9" s="14"/>
      <c r="D9" s="12" t="s">
        <v>45</v>
      </c>
      <c r="E9" s="10" t="s">
        <v>345</v>
      </c>
      <c r="F9" s="14"/>
      <c r="G9" s="12" t="s">
        <v>46</v>
      </c>
      <c r="H9" s="10" t="s">
        <v>345</v>
      </c>
      <c r="I9" s="14"/>
      <c r="J9" s="12" t="s">
        <v>41</v>
      </c>
      <c r="K9" s="10">
        <v>0.0</v>
      </c>
      <c r="L9" s="14" t="s">
        <v>9</v>
      </c>
      <c r="M9" s="5" t="s">
        <v>48</v>
      </c>
      <c r="N9" s="10" t="s">
        <v>345</v>
      </c>
      <c r="O9" s="14"/>
      <c r="P9" s="25" t="s">
        <v>353</v>
      </c>
      <c r="Q9" s="10" t="s">
        <v>345</v>
      </c>
      <c r="R9" s="14"/>
      <c r="S9" s="12" t="s">
        <v>50</v>
      </c>
      <c r="T9" s="9"/>
      <c r="U9" s="9"/>
      <c r="V9" s="100" t="s">
        <v>256</v>
      </c>
      <c r="W9" s="101">
        <v>3.0</v>
      </c>
      <c r="X9" s="100"/>
      <c r="Y9" s="100" t="s">
        <v>247</v>
      </c>
      <c r="Z9" s="101">
        <v>0.0</v>
      </c>
    </row>
    <row r="10" ht="12.75" customHeight="1">
      <c r="A10" s="9"/>
      <c r="B10" s="10"/>
      <c r="C10" s="3"/>
      <c r="D10" s="9"/>
      <c r="E10" s="10"/>
      <c r="F10" s="3"/>
      <c r="G10" s="9"/>
      <c r="H10" s="10" t="s">
        <v>345</v>
      </c>
      <c r="I10" s="3"/>
      <c r="J10" s="9"/>
      <c r="K10" s="10"/>
      <c r="L10" s="3"/>
      <c r="M10" s="9"/>
      <c r="N10" s="10"/>
      <c r="O10" s="3"/>
      <c r="P10" s="9"/>
      <c r="Q10" s="10"/>
      <c r="R10" s="3"/>
      <c r="S10" s="9"/>
      <c r="T10" s="9"/>
      <c r="U10" s="9"/>
      <c r="V10" s="100" t="s">
        <v>262</v>
      </c>
      <c r="W10" s="101">
        <v>0.0</v>
      </c>
      <c r="X10" s="100"/>
      <c r="Y10" s="100" t="s">
        <v>265</v>
      </c>
      <c r="Z10" s="101">
        <v>0.0</v>
      </c>
    </row>
    <row r="11" ht="12.75" customHeight="1">
      <c r="A11" s="9" t="s">
        <v>51</v>
      </c>
      <c r="B11" s="10">
        <v>3.0</v>
      </c>
      <c r="C11" s="14" t="s">
        <v>9</v>
      </c>
      <c r="D11" s="1" t="s">
        <v>52</v>
      </c>
      <c r="E11" s="10">
        <v>0.0</v>
      </c>
      <c r="F11" s="14" t="s">
        <v>9</v>
      </c>
      <c r="G11" s="1" t="s">
        <v>53</v>
      </c>
      <c r="H11" s="10">
        <v>15.0</v>
      </c>
      <c r="I11" s="14" t="s">
        <v>9</v>
      </c>
      <c r="J11" s="1" t="s">
        <v>54</v>
      </c>
      <c r="K11" s="10" t="s">
        <v>345</v>
      </c>
      <c r="L11" s="14"/>
      <c r="M11" s="12" t="s">
        <v>55</v>
      </c>
      <c r="N11" s="10">
        <v>3.0</v>
      </c>
      <c r="O11" s="14" t="s">
        <v>9</v>
      </c>
      <c r="P11" s="1" t="s">
        <v>56</v>
      </c>
      <c r="Q11" s="10">
        <v>10.0</v>
      </c>
      <c r="R11" s="14" t="s">
        <v>9</v>
      </c>
      <c r="S11" s="5" t="s">
        <v>57</v>
      </c>
      <c r="T11" s="9"/>
      <c r="U11" s="9"/>
      <c r="V11" s="100"/>
      <c r="W11" s="101">
        <v>57.0</v>
      </c>
      <c r="X11" s="100"/>
      <c r="Y11" s="100"/>
      <c r="Z11" s="101">
        <v>33.0</v>
      </c>
    </row>
    <row r="12" ht="12.75" customHeight="1">
      <c r="A12" s="9"/>
      <c r="B12" s="10">
        <v>8.0</v>
      </c>
      <c r="C12" s="14" t="s">
        <v>9</v>
      </c>
      <c r="D12" s="1" t="s">
        <v>58</v>
      </c>
      <c r="E12" s="10" t="s">
        <v>345</v>
      </c>
      <c r="F12" s="14"/>
      <c r="G12" s="9" t="s">
        <v>59</v>
      </c>
      <c r="H12" s="10" t="s">
        <v>345</v>
      </c>
      <c r="I12" s="14"/>
      <c r="J12" s="12" t="s">
        <v>60</v>
      </c>
      <c r="K12" s="10" t="s">
        <v>345</v>
      </c>
      <c r="L12" s="14"/>
      <c r="M12" s="9" t="s">
        <v>61</v>
      </c>
      <c r="N12" s="10">
        <v>2.0</v>
      </c>
      <c r="O12" s="14" t="s">
        <v>9</v>
      </c>
      <c r="P12" s="1" t="s">
        <v>62</v>
      </c>
      <c r="Q12" s="10" t="s">
        <v>345</v>
      </c>
      <c r="R12" s="14"/>
      <c r="S12" s="9" t="s">
        <v>63</v>
      </c>
      <c r="T12" s="9"/>
      <c r="U12" s="9"/>
      <c r="V12" s="100"/>
      <c r="W12" s="101"/>
      <c r="X12" s="100"/>
      <c r="Y12" s="100"/>
      <c r="Z12" s="101"/>
    </row>
    <row r="13" ht="12.75" customHeight="1">
      <c r="A13" s="9"/>
      <c r="B13" s="10" t="s">
        <v>345</v>
      </c>
      <c r="C13" s="14"/>
      <c r="D13" s="12" t="s">
        <v>64</v>
      </c>
      <c r="E13" s="10" t="s">
        <v>345</v>
      </c>
      <c r="F13" s="14"/>
      <c r="G13" s="12" t="s">
        <v>354</v>
      </c>
      <c r="H13" s="10">
        <v>2.0</v>
      </c>
      <c r="I13" s="14" t="s">
        <v>9</v>
      </c>
      <c r="J13" s="5" t="s">
        <v>66</v>
      </c>
      <c r="K13" s="10">
        <v>8.0</v>
      </c>
      <c r="L13" s="14" t="s">
        <v>9</v>
      </c>
      <c r="M13" s="1" t="s">
        <v>67</v>
      </c>
      <c r="N13" s="10" t="s">
        <v>345</v>
      </c>
      <c r="O13" s="14"/>
      <c r="P13" s="9" t="s">
        <v>355</v>
      </c>
      <c r="Q13" s="10" t="s">
        <v>345</v>
      </c>
      <c r="R13" s="14"/>
      <c r="S13" s="17" t="s">
        <v>69</v>
      </c>
      <c r="T13" s="9"/>
      <c r="U13" s="9"/>
      <c r="V13" s="98" t="s">
        <v>322</v>
      </c>
      <c r="W13" s="99"/>
      <c r="X13" s="98"/>
      <c r="Y13" s="98" t="s">
        <v>326</v>
      </c>
      <c r="Z13" s="99"/>
    </row>
    <row r="14" ht="12.75" customHeight="1">
      <c r="A14" s="9"/>
      <c r="B14" s="10" t="s">
        <v>345</v>
      </c>
      <c r="C14" s="14"/>
      <c r="D14" s="12" t="s">
        <v>356</v>
      </c>
      <c r="E14" s="10">
        <v>0.0</v>
      </c>
      <c r="F14" s="14" t="s">
        <v>9</v>
      </c>
      <c r="G14" s="5" t="s">
        <v>71</v>
      </c>
      <c r="H14" s="10" t="s">
        <v>345</v>
      </c>
      <c r="I14" s="14"/>
      <c r="J14" s="12" t="s">
        <v>72</v>
      </c>
      <c r="K14" s="10">
        <v>13.0</v>
      </c>
      <c r="L14" s="14" t="s">
        <v>9</v>
      </c>
      <c r="M14" s="5" t="s">
        <v>73</v>
      </c>
      <c r="N14" s="10" t="s">
        <v>345</v>
      </c>
      <c r="O14" s="14"/>
      <c r="P14" s="12" t="s">
        <v>350</v>
      </c>
      <c r="Q14" s="10">
        <v>5.0</v>
      </c>
      <c r="R14" s="14" t="s">
        <v>9</v>
      </c>
      <c r="S14" s="5" t="s">
        <v>75</v>
      </c>
      <c r="T14" s="9"/>
      <c r="U14" s="9"/>
      <c r="V14" s="100" t="s">
        <v>12</v>
      </c>
      <c r="W14" s="101">
        <v>13.0</v>
      </c>
      <c r="X14" s="100"/>
      <c r="Y14" s="100" t="s">
        <v>159</v>
      </c>
      <c r="Z14" s="101">
        <v>27.0</v>
      </c>
    </row>
    <row r="15" ht="12.75" customHeight="1">
      <c r="A15" s="9"/>
      <c r="B15" s="10"/>
      <c r="C15" s="3"/>
      <c r="D15" s="9"/>
      <c r="E15" s="10"/>
      <c r="F15" s="3"/>
      <c r="G15" s="9"/>
      <c r="H15" s="10" t="s">
        <v>345</v>
      </c>
      <c r="I15" s="3"/>
      <c r="J15" s="9"/>
      <c r="K15" s="10"/>
      <c r="L15" s="3"/>
      <c r="M15" s="9"/>
      <c r="N15" s="10"/>
      <c r="O15" s="3"/>
      <c r="P15" s="9"/>
      <c r="Q15" s="10"/>
      <c r="R15" s="3"/>
      <c r="S15" s="9"/>
      <c r="T15" s="9"/>
      <c r="U15" s="9"/>
      <c r="V15" s="100" t="s">
        <v>31</v>
      </c>
      <c r="W15" s="101">
        <v>0.0</v>
      </c>
      <c r="X15" s="100"/>
      <c r="Y15" s="100" t="s">
        <v>183</v>
      </c>
      <c r="Z15" s="101">
        <v>0.0</v>
      </c>
    </row>
    <row r="16" ht="12.75" customHeight="1">
      <c r="A16" s="9" t="s">
        <v>76</v>
      </c>
      <c r="B16" s="10" t="s">
        <v>345</v>
      </c>
      <c r="C16" s="14"/>
      <c r="D16" s="9" t="s">
        <v>357</v>
      </c>
      <c r="E16" s="10">
        <v>9.0</v>
      </c>
      <c r="F16" s="14" t="s">
        <v>9</v>
      </c>
      <c r="G16" s="5" t="s">
        <v>78</v>
      </c>
      <c r="H16" s="10" t="s">
        <v>345</v>
      </c>
      <c r="I16" s="14"/>
      <c r="J16" s="9" t="s">
        <v>79</v>
      </c>
      <c r="K16" s="10" t="s">
        <v>345</v>
      </c>
      <c r="L16" s="14"/>
      <c r="M16" s="9" t="s">
        <v>86</v>
      </c>
      <c r="N16" s="10">
        <v>0.0</v>
      </c>
      <c r="O16" s="14" t="s">
        <v>9</v>
      </c>
      <c r="P16" s="5" t="s">
        <v>81</v>
      </c>
      <c r="Q16" s="10" t="s">
        <v>345</v>
      </c>
      <c r="R16" s="14"/>
      <c r="S16" s="9" t="s">
        <v>80</v>
      </c>
      <c r="T16" s="9"/>
      <c r="U16" s="9"/>
      <c r="V16" s="100" t="s">
        <v>43</v>
      </c>
      <c r="W16" s="101">
        <v>6.0</v>
      </c>
      <c r="X16" s="100"/>
      <c r="Y16" s="100" t="s">
        <v>189</v>
      </c>
      <c r="Z16" s="101">
        <v>0.0</v>
      </c>
    </row>
    <row r="17" ht="12.75" customHeight="1">
      <c r="A17" s="9"/>
      <c r="B17" s="10" t="s">
        <v>345</v>
      </c>
      <c r="C17" s="14"/>
      <c r="D17" s="12" t="s">
        <v>77</v>
      </c>
      <c r="E17" s="10" t="s">
        <v>345</v>
      </c>
      <c r="F17" s="14"/>
      <c r="G17" s="9" t="s">
        <v>358</v>
      </c>
      <c r="H17" s="10" t="s">
        <v>345</v>
      </c>
      <c r="I17" s="14"/>
      <c r="J17" s="9" t="s">
        <v>85</v>
      </c>
      <c r="K17" s="10" t="s">
        <v>345</v>
      </c>
      <c r="L17" s="14"/>
      <c r="M17" s="12" t="s">
        <v>88</v>
      </c>
      <c r="N17" s="10" t="s">
        <v>345</v>
      </c>
      <c r="O17" s="14"/>
      <c r="P17" s="9" t="s">
        <v>90</v>
      </c>
      <c r="Q17" s="10">
        <v>12.0</v>
      </c>
      <c r="R17" s="14" t="s">
        <v>9</v>
      </c>
      <c r="S17" s="5" t="s">
        <v>82</v>
      </c>
      <c r="T17" s="9"/>
      <c r="U17" s="9"/>
      <c r="V17" s="100" t="s">
        <v>56</v>
      </c>
      <c r="W17" s="101">
        <v>3.0</v>
      </c>
      <c r="X17" s="100"/>
      <c r="Y17" s="100" t="s">
        <v>364</v>
      </c>
      <c r="Z17" s="101">
        <v>2.0</v>
      </c>
    </row>
    <row r="18" ht="12.75" customHeight="1">
      <c r="A18" s="9"/>
      <c r="B18" s="10">
        <v>0.0</v>
      </c>
      <c r="C18" s="14" t="s">
        <v>9</v>
      </c>
      <c r="D18" s="5" t="s">
        <v>93</v>
      </c>
      <c r="E18" s="10" t="s">
        <v>345</v>
      </c>
      <c r="F18" s="14"/>
      <c r="G18" s="12" t="s">
        <v>359</v>
      </c>
      <c r="H18" s="10">
        <v>6.0</v>
      </c>
      <c r="I18" s="14" t="s">
        <v>9</v>
      </c>
      <c r="J18" s="5" t="s">
        <v>91</v>
      </c>
      <c r="K18" s="10">
        <v>12.0</v>
      </c>
      <c r="L18" s="14" t="s">
        <v>9</v>
      </c>
      <c r="M18" s="1" t="s">
        <v>92</v>
      </c>
      <c r="N18" s="10" t="s">
        <v>345</v>
      </c>
      <c r="O18" s="14"/>
      <c r="P18" s="12" t="s">
        <v>87</v>
      </c>
      <c r="Q18" s="10" t="s">
        <v>345</v>
      </c>
      <c r="R18" s="14"/>
      <c r="S18" s="12" t="s">
        <v>94</v>
      </c>
      <c r="T18" s="9"/>
      <c r="U18" s="9"/>
      <c r="V18" s="100" t="s">
        <v>62</v>
      </c>
      <c r="W18" s="101">
        <v>2.0</v>
      </c>
      <c r="X18" s="100"/>
      <c r="Y18" s="18" t="s">
        <v>207</v>
      </c>
      <c r="Z18" s="101">
        <v>0.0</v>
      </c>
    </row>
    <row r="19" ht="12.75" customHeight="1">
      <c r="A19" s="9"/>
      <c r="B19" s="10"/>
      <c r="C19" s="3"/>
      <c r="D19" s="9"/>
      <c r="E19" s="10"/>
      <c r="F19" s="3"/>
      <c r="G19" s="9"/>
      <c r="H19" s="10" t="s">
        <v>345</v>
      </c>
      <c r="I19" s="3"/>
      <c r="J19" s="9" t="s">
        <v>95</v>
      </c>
      <c r="K19" s="10"/>
      <c r="L19" s="3"/>
      <c r="M19" s="9"/>
      <c r="N19" s="10"/>
      <c r="O19" s="3"/>
      <c r="P19" s="9"/>
      <c r="Q19" s="10"/>
      <c r="R19" s="3"/>
      <c r="S19" s="9"/>
      <c r="T19" s="9"/>
      <c r="U19" s="9"/>
      <c r="V19" s="100" t="s">
        <v>81</v>
      </c>
      <c r="W19" s="101">
        <v>0.0</v>
      </c>
      <c r="X19" s="100"/>
      <c r="Y19" s="100" t="s">
        <v>225</v>
      </c>
      <c r="Z19" s="101">
        <v>4.0</v>
      </c>
    </row>
    <row r="20" ht="12.75" customHeight="1">
      <c r="A20" s="9" t="s">
        <v>96</v>
      </c>
      <c r="B20" s="10">
        <v>4.0</v>
      </c>
      <c r="C20" s="14" t="s">
        <v>9</v>
      </c>
      <c r="D20" s="5" t="s">
        <v>97</v>
      </c>
      <c r="E20" s="10">
        <v>5.0</v>
      </c>
      <c r="F20" s="14" t="s">
        <v>9</v>
      </c>
      <c r="G20" s="5" t="s">
        <v>98</v>
      </c>
      <c r="H20" s="10">
        <v>5.0</v>
      </c>
      <c r="I20" s="14" t="s">
        <v>9</v>
      </c>
      <c r="J20" s="1" t="s">
        <v>99</v>
      </c>
      <c r="K20" s="10" t="s">
        <v>345</v>
      </c>
      <c r="L20" s="14"/>
      <c r="M20" s="12" t="s">
        <v>100</v>
      </c>
      <c r="N20" s="10" t="s">
        <v>345</v>
      </c>
      <c r="O20" s="14"/>
      <c r="P20" s="9" t="s">
        <v>360</v>
      </c>
      <c r="Q20" s="10">
        <v>0.0</v>
      </c>
      <c r="R20" s="14" t="s">
        <v>9</v>
      </c>
      <c r="S20" s="5" t="s">
        <v>361</v>
      </c>
      <c r="T20" s="9"/>
      <c r="U20" s="9"/>
      <c r="V20" s="100" t="s">
        <v>101</v>
      </c>
      <c r="W20" s="101">
        <v>0.0</v>
      </c>
      <c r="X20" s="100"/>
      <c r="Y20" s="100" t="s">
        <v>237</v>
      </c>
      <c r="Z20" s="101">
        <v>5.0</v>
      </c>
    </row>
    <row r="21" ht="12.75" customHeight="1">
      <c r="A21" s="9"/>
      <c r="B21" s="10" t="s">
        <v>345</v>
      </c>
      <c r="C21" s="14"/>
      <c r="D21" s="9" t="s">
        <v>103</v>
      </c>
      <c r="E21" s="10" t="s">
        <v>345</v>
      </c>
      <c r="F21" s="14"/>
      <c r="G21" s="12" t="s">
        <v>104</v>
      </c>
      <c r="H21" s="10" t="s">
        <v>345</v>
      </c>
      <c r="I21" s="14"/>
      <c r="J21" s="9" t="s">
        <v>105</v>
      </c>
      <c r="K21" s="10">
        <v>7.0</v>
      </c>
      <c r="L21" s="14" t="s">
        <v>9</v>
      </c>
      <c r="M21" s="1" t="s">
        <v>106</v>
      </c>
      <c r="N21" s="10">
        <v>0.0</v>
      </c>
      <c r="O21" s="14" t="s">
        <v>9</v>
      </c>
      <c r="P21" s="1" t="s">
        <v>101</v>
      </c>
      <c r="Q21" s="10" t="s">
        <v>345</v>
      </c>
      <c r="R21" s="14"/>
      <c r="S21" s="9" t="s">
        <v>102</v>
      </c>
      <c r="T21" s="9"/>
      <c r="U21" s="9"/>
      <c r="V21" s="100" t="s">
        <v>114</v>
      </c>
      <c r="W21" s="101">
        <v>5.0</v>
      </c>
      <c r="X21" s="100"/>
      <c r="Y21" s="100" t="s">
        <v>255</v>
      </c>
      <c r="Z21" s="101">
        <v>16.0</v>
      </c>
    </row>
    <row r="22" ht="12.75" customHeight="1">
      <c r="A22" s="9"/>
      <c r="B22" s="10"/>
      <c r="C22" s="3"/>
      <c r="D22" s="9"/>
      <c r="E22" s="10"/>
      <c r="F22" s="3"/>
      <c r="G22" s="9"/>
      <c r="H22" s="10" t="s">
        <v>345</v>
      </c>
      <c r="I22" s="3"/>
      <c r="J22" s="9"/>
      <c r="K22" s="10"/>
      <c r="L22" s="3"/>
      <c r="M22" s="9"/>
      <c r="N22" s="10"/>
      <c r="O22" s="3"/>
      <c r="P22" s="9"/>
      <c r="Q22" s="10"/>
      <c r="R22" s="3"/>
      <c r="S22" s="9"/>
      <c r="T22" s="9"/>
      <c r="U22" s="9"/>
      <c r="V22" s="100" t="s">
        <v>127</v>
      </c>
      <c r="W22" s="101">
        <v>7.0</v>
      </c>
      <c r="X22" s="100"/>
      <c r="Y22" s="100" t="s">
        <v>261</v>
      </c>
      <c r="Z22" s="101">
        <v>0.0</v>
      </c>
    </row>
    <row r="23" ht="12.75" customHeight="1">
      <c r="A23" s="9" t="s">
        <v>109</v>
      </c>
      <c r="B23" s="10">
        <v>0.0</v>
      </c>
      <c r="C23" s="14" t="s">
        <v>9</v>
      </c>
      <c r="D23" s="1" t="s">
        <v>110</v>
      </c>
      <c r="E23" s="10" t="s">
        <v>345</v>
      </c>
      <c r="F23" s="14"/>
      <c r="G23" s="12" t="s">
        <v>111</v>
      </c>
      <c r="H23" s="10">
        <v>6.0</v>
      </c>
      <c r="I23" s="14" t="s">
        <v>9</v>
      </c>
      <c r="J23" s="1" t="s">
        <v>112</v>
      </c>
      <c r="K23" s="10" t="s">
        <v>345</v>
      </c>
      <c r="L23" s="14"/>
      <c r="M23" s="9" t="s">
        <v>113</v>
      </c>
      <c r="N23" s="10">
        <v>5.0</v>
      </c>
      <c r="O23" s="14" t="s">
        <v>9</v>
      </c>
      <c r="P23" s="1" t="s">
        <v>114</v>
      </c>
      <c r="Q23" s="10">
        <v>0.0</v>
      </c>
      <c r="R23" s="14" t="s">
        <v>9</v>
      </c>
      <c r="S23" s="5" t="s">
        <v>115</v>
      </c>
      <c r="T23" s="9"/>
      <c r="U23" s="9"/>
      <c r="V23" s="100"/>
      <c r="W23" s="101">
        <v>36.0</v>
      </c>
      <c r="X23" s="100"/>
      <c r="Y23" s="100"/>
      <c r="Z23" s="101">
        <v>54.0</v>
      </c>
    </row>
    <row r="24" ht="12.75" customHeight="1">
      <c r="A24" s="9"/>
      <c r="B24" s="10" t="s">
        <v>345</v>
      </c>
      <c r="C24" s="14"/>
      <c r="D24" s="9" t="s">
        <v>116</v>
      </c>
      <c r="E24" s="10">
        <v>6.0</v>
      </c>
      <c r="F24" s="14" t="s">
        <v>9</v>
      </c>
      <c r="G24" s="5" t="s">
        <v>117</v>
      </c>
      <c r="H24" s="10" t="s">
        <v>345</v>
      </c>
      <c r="I24" s="14"/>
      <c r="J24" s="9" t="s">
        <v>118</v>
      </c>
      <c r="K24" s="10">
        <v>0.0</v>
      </c>
      <c r="L24" s="14" t="s">
        <v>9</v>
      </c>
      <c r="M24" s="5" t="s">
        <v>121</v>
      </c>
      <c r="N24" s="10" t="s">
        <v>345</v>
      </c>
      <c r="O24" s="14"/>
      <c r="P24" s="9" t="s">
        <v>120</v>
      </c>
      <c r="Q24" s="10" t="s">
        <v>345</v>
      </c>
      <c r="R24" s="14"/>
      <c r="S24" s="12" t="s">
        <v>362</v>
      </c>
      <c r="T24" s="9"/>
      <c r="U24" s="9"/>
      <c r="V24" s="100"/>
      <c r="W24" s="101"/>
      <c r="X24" s="100"/>
      <c r="Y24" s="100"/>
      <c r="Z24" s="101"/>
    </row>
    <row r="25" ht="12.75" customHeight="1">
      <c r="A25" s="9"/>
      <c r="B25" s="10"/>
      <c r="C25" s="3"/>
      <c r="D25" s="9"/>
      <c r="E25" s="10"/>
      <c r="F25" s="3"/>
      <c r="G25" s="9"/>
      <c r="H25" s="10" t="s">
        <v>345</v>
      </c>
      <c r="I25" s="3"/>
      <c r="J25" s="9"/>
      <c r="K25" s="10"/>
      <c r="L25" s="3"/>
      <c r="M25" s="9"/>
      <c r="N25" s="10"/>
      <c r="O25" s="3"/>
      <c r="P25" s="9"/>
      <c r="Q25" s="10"/>
      <c r="R25" s="3"/>
      <c r="S25" s="9"/>
      <c r="T25" s="9"/>
      <c r="U25" s="9"/>
      <c r="V25" s="98" t="s">
        <v>319</v>
      </c>
      <c r="W25" s="99"/>
      <c r="X25" s="98"/>
      <c r="Y25" s="98" t="s">
        <v>323</v>
      </c>
      <c r="Z25" s="99"/>
    </row>
    <row r="26" ht="12.75" customHeight="1">
      <c r="A26" s="9" t="s">
        <v>122</v>
      </c>
      <c r="B26" s="10">
        <v>0.0</v>
      </c>
      <c r="C26" s="14" t="s">
        <v>9</v>
      </c>
      <c r="D26" s="5" t="s">
        <v>123</v>
      </c>
      <c r="E26" s="10">
        <v>5.0</v>
      </c>
      <c r="F26" s="14" t="s">
        <v>9</v>
      </c>
      <c r="G26" s="5" t="s">
        <v>124</v>
      </c>
      <c r="H26" s="10" t="s">
        <v>345</v>
      </c>
      <c r="I26" s="14"/>
      <c r="J26" s="9" t="s">
        <v>125</v>
      </c>
      <c r="K26" s="10">
        <v>7.0</v>
      </c>
      <c r="L26" s="14" t="s">
        <v>9</v>
      </c>
      <c r="M26" s="1" t="s">
        <v>126</v>
      </c>
      <c r="N26" s="10">
        <v>7.0</v>
      </c>
      <c r="O26" s="14" t="s">
        <v>9</v>
      </c>
      <c r="P26" s="1" t="s">
        <v>127</v>
      </c>
      <c r="Q26" s="10" t="s">
        <v>345</v>
      </c>
      <c r="R26" s="14"/>
      <c r="S26" s="12" t="s">
        <v>128</v>
      </c>
      <c r="T26" s="9"/>
      <c r="U26" s="9"/>
      <c r="V26" s="100" t="s">
        <v>8</v>
      </c>
      <c r="W26" s="101">
        <v>8.0</v>
      </c>
      <c r="X26" s="100"/>
      <c r="Y26" s="100" t="s">
        <v>13</v>
      </c>
      <c r="Z26" s="101">
        <v>19.0</v>
      </c>
    </row>
    <row r="27" ht="12.75" customHeight="1">
      <c r="A27" s="9"/>
      <c r="B27" s="10" t="s">
        <v>345</v>
      </c>
      <c r="C27" s="14"/>
      <c r="D27" s="9" t="s">
        <v>129</v>
      </c>
      <c r="E27" s="10" t="s">
        <v>345</v>
      </c>
      <c r="F27" s="14"/>
      <c r="G27" s="9" t="s">
        <v>130</v>
      </c>
      <c r="H27" s="10">
        <v>4.0</v>
      </c>
      <c r="I27" s="14" t="s">
        <v>9</v>
      </c>
      <c r="J27" s="5" t="s">
        <v>131</v>
      </c>
      <c r="K27" s="10" t="s">
        <v>345</v>
      </c>
      <c r="L27" s="14"/>
      <c r="M27" s="9" t="s">
        <v>132</v>
      </c>
      <c r="N27" s="10" t="s">
        <v>345</v>
      </c>
      <c r="O27" s="14"/>
      <c r="P27" s="12" t="s">
        <v>133</v>
      </c>
      <c r="Q27" s="10">
        <v>7.0</v>
      </c>
      <c r="R27" s="14" t="s">
        <v>9</v>
      </c>
      <c r="S27" s="1" t="s">
        <v>134</v>
      </c>
      <c r="T27" s="9"/>
      <c r="U27" s="9"/>
      <c r="V27" s="100" t="s">
        <v>28</v>
      </c>
      <c r="W27" s="101">
        <v>6.0</v>
      </c>
      <c r="X27" s="100"/>
      <c r="Y27" s="100" t="s">
        <v>32</v>
      </c>
      <c r="Z27" s="101">
        <v>0.0</v>
      </c>
    </row>
    <row r="28" ht="12.75" customHeight="1">
      <c r="A28" s="9"/>
      <c r="B28" s="2"/>
      <c r="C28" s="3"/>
      <c r="D28" s="9"/>
      <c r="E28" s="10"/>
      <c r="F28" s="3"/>
      <c r="G28" s="9"/>
      <c r="H28" s="10"/>
      <c r="I28" s="3"/>
      <c r="J28" s="9"/>
      <c r="K28" s="10"/>
      <c r="L28" s="3"/>
      <c r="M28" s="9"/>
      <c r="N28" s="10"/>
      <c r="O28" s="3"/>
      <c r="P28" s="12" t="s">
        <v>95</v>
      </c>
      <c r="Q28" s="10"/>
      <c r="R28" s="3"/>
      <c r="S28" s="9"/>
      <c r="T28" s="9"/>
      <c r="U28" s="9"/>
      <c r="V28" s="100" t="s">
        <v>351</v>
      </c>
      <c r="W28" s="101">
        <v>0.0</v>
      </c>
      <c r="X28" s="100"/>
      <c r="Y28" s="100" t="s">
        <v>372</v>
      </c>
      <c r="Z28" s="101">
        <v>3.0</v>
      </c>
    </row>
    <row r="29" ht="12.75" customHeight="1">
      <c r="A29" s="19"/>
      <c r="B29" s="20"/>
      <c r="C29" s="21"/>
      <c r="D29" s="22">
        <v>20.0</v>
      </c>
      <c r="E29" s="20"/>
      <c r="F29" s="21"/>
      <c r="G29" s="22">
        <v>39.0</v>
      </c>
      <c r="H29" s="20"/>
      <c r="I29" s="21"/>
      <c r="J29" s="22">
        <v>84.0</v>
      </c>
      <c r="K29" s="20"/>
      <c r="L29" s="21"/>
      <c r="M29" s="22">
        <v>68.0</v>
      </c>
      <c r="N29" s="20"/>
      <c r="O29" s="21"/>
      <c r="P29" s="22">
        <v>36.0</v>
      </c>
      <c r="Q29" s="20"/>
      <c r="R29" s="21"/>
      <c r="S29" s="22">
        <v>56.0</v>
      </c>
      <c r="T29" s="19"/>
      <c r="U29" s="19"/>
      <c r="V29" s="100" t="s">
        <v>53</v>
      </c>
      <c r="W29" s="101">
        <v>0.0</v>
      </c>
      <c r="X29" s="100"/>
      <c r="Y29" s="100" t="s">
        <v>57</v>
      </c>
      <c r="Z29" s="101">
        <v>10.0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6"/>
      <c r="S30" s="9"/>
      <c r="T30" s="9"/>
      <c r="U30" s="9"/>
      <c r="V30" s="100" t="s">
        <v>71</v>
      </c>
      <c r="W30" s="101">
        <v>0.0</v>
      </c>
      <c r="X30" s="100"/>
      <c r="Y30" s="100" t="s">
        <v>75</v>
      </c>
      <c r="Z30" s="101">
        <v>5.0</v>
      </c>
    </row>
    <row r="31" ht="12.75" customHeight="1">
      <c r="A31" s="9" t="s">
        <v>135</v>
      </c>
      <c r="B31" s="2"/>
      <c r="C31" s="3"/>
      <c r="D31" s="9" t="s">
        <v>136</v>
      </c>
      <c r="E31" s="2"/>
      <c r="F31" s="6"/>
      <c r="G31" s="9" t="s">
        <v>137</v>
      </c>
      <c r="H31" s="2"/>
      <c r="I31" s="6"/>
      <c r="J31" s="9" t="s">
        <v>138</v>
      </c>
      <c r="K31" s="2"/>
      <c r="L31" s="6"/>
      <c r="M31" s="9" t="s">
        <v>139</v>
      </c>
      <c r="N31" s="2"/>
      <c r="O31" s="6"/>
      <c r="P31" s="9" t="s">
        <v>140</v>
      </c>
      <c r="Q31" s="2"/>
      <c r="R31" s="6"/>
      <c r="S31" s="9" t="s">
        <v>141</v>
      </c>
      <c r="T31" s="9"/>
      <c r="U31" s="9"/>
      <c r="V31" s="100" t="s">
        <v>78</v>
      </c>
      <c r="W31" s="101">
        <v>9.0</v>
      </c>
      <c r="X31" s="100"/>
      <c r="Y31" s="100" t="s">
        <v>82</v>
      </c>
      <c r="Z31" s="101">
        <v>12.0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142</v>
      </c>
      <c r="Q32" s="2"/>
      <c r="R32" s="6"/>
      <c r="S32" s="9"/>
      <c r="T32" s="9"/>
      <c r="U32" s="9"/>
      <c r="V32" s="100" t="s">
        <v>98</v>
      </c>
      <c r="W32" s="101">
        <v>5.0</v>
      </c>
      <c r="X32" s="100"/>
      <c r="Y32" s="100" t="s">
        <v>361</v>
      </c>
      <c r="Z32" s="101">
        <v>0.0</v>
      </c>
    </row>
    <row r="33" ht="12.75" customHeight="1">
      <c r="A33" s="9"/>
      <c r="B33" s="2"/>
      <c r="C33" s="3"/>
      <c r="D33" s="25"/>
      <c r="E33" s="26"/>
      <c r="F33" s="26"/>
      <c r="G33" s="25"/>
      <c r="H33" s="26"/>
      <c r="I33" s="26"/>
      <c r="J33" s="25"/>
      <c r="K33" s="25"/>
      <c r="L33" s="26"/>
      <c r="M33" s="25"/>
      <c r="P33" s="25"/>
      <c r="R33" s="3"/>
      <c r="S33" s="25"/>
      <c r="T33" s="6"/>
      <c r="U33" s="26"/>
      <c r="V33" s="103" t="s">
        <v>117</v>
      </c>
      <c r="W33" s="101">
        <v>6.0</v>
      </c>
      <c r="X33" s="100"/>
      <c r="Y33" s="100" t="s">
        <v>115</v>
      </c>
      <c r="Z33" s="101">
        <v>0.0</v>
      </c>
    </row>
    <row r="34" ht="12.75" customHeight="1">
      <c r="A34" s="9" t="s">
        <v>143</v>
      </c>
      <c r="B34" s="9"/>
      <c r="C34" s="3"/>
      <c r="D34" s="25"/>
      <c r="E34" s="26"/>
      <c r="F34" s="26"/>
      <c r="G34" s="25"/>
      <c r="H34" s="26"/>
      <c r="I34" s="26"/>
      <c r="J34" s="25"/>
      <c r="K34" s="25"/>
      <c r="L34" s="26"/>
      <c r="M34" s="25"/>
      <c r="P34" s="25"/>
      <c r="R34" s="3"/>
      <c r="S34" s="25"/>
      <c r="T34" s="6"/>
      <c r="U34" s="26"/>
      <c r="V34" s="103" t="s">
        <v>124</v>
      </c>
      <c r="W34" s="101">
        <v>5.0</v>
      </c>
      <c r="X34" s="100"/>
      <c r="Y34" s="100" t="s">
        <v>134</v>
      </c>
      <c r="Z34" s="101">
        <v>7.0</v>
      </c>
    </row>
    <row r="35" ht="12.75" customHeight="1">
      <c r="A35" s="9"/>
      <c r="B35" s="9"/>
      <c r="C35" s="3"/>
      <c r="D35" s="12"/>
      <c r="E35" s="26"/>
      <c r="F35" s="26"/>
      <c r="G35" s="12"/>
      <c r="H35" s="26"/>
      <c r="I35" s="26"/>
      <c r="J35" s="25"/>
      <c r="K35" s="25"/>
      <c r="L35" s="26"/>
      <c r="M35" s="25"/>
      <c r="P35" s="25"/>
      <c r="R35" s="3"/>
      <c r="S35" s="25"/>
      <c r="T35" s="6"/>
      <c r="U35" s="9"/>
      <c r="V35" s="103"/>
      <c r="W35" s="101">
        <v>39.0</v>
      </c>
      <c r="X35" s="100"/>
      <c r="Y35" s="100"/>
      <c r="Z35" s="101">
        <v>56.0</v>
      </c>
    </row>
    <row r="36" ht="12.75" customHeight="1">
      <c r="A36" s="9"/>
      <c r="B36" s="2"/>
      <c r="C36" s="3"/>
      <c r="D36" s="12"/>
      <c r="E36" s="2"/>
      <c r="F36" s="6"/>
      <c r="G36" s="12"/>
      <c r="H36" s="2"/>
      <c r="I36" s="6"/>
      <c r="J36" s="25"/>
      <c r="K36" s="9"/>
      <c r="L36" s="6"/>
      <c r="M36" s="25"/>
      <c r="N36" s="26"/>
      <c r="O36" s="26"/>
      <c r="P36" s="25"/>
      <c r="Q36" s="26"/>
      <c r="R36" s="3"/>
      <c r="S36" s="25"/>
      <c r="T36" s="6"/>
      <c r="U36" s="6"/>
      <c r="V36" s="100"/>
      <c r="W36" s="101"/>
      <c r="X36" s="100"/>
      <c r="Y36" s="100"/>
      <c r="Z36" s="101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6"/>
      <c r="S37" s="9"/>
      <c r="T37" s="9"/>
      <c r="U37" s="9"/>
      <c r="V37" s="98" t="s">
        <v>302</v>
      </c>
      <c r="W37" s="99"/>
      <c r="X37" s="98"/>
      <c r="Y37" s="98" t="s">
        <v>329</v>
      </c>
      <c r="Z37" s="99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6"/>
      <c r="S38" s="9"/>
      <c r="T38" s="9"/>
      <c r="U38" s="9"/>
      <c r="V38" s="100" t="s">
        <v>20</v>
      </c>
      <c r="W38" s="101">
        <v>0.0</v>
      </c>
      <c r="X38" s="100"/>
      <c r="Y38" s="100" t="s">
        <v>162</v>
      </c>
      <c r="Z38" s="101">
        <v>20.0</v>
      </c>
    </row>
    <row r="39" ht="12.75" customHeight="1">
      <c r="A39" s="1" t="s">
        <v>144</v>
      </c>
      <c r="B39" s="2"/>
      <c r="C39" s="3"/>
      <c r="D39" s="5" t="s">
        <v>145</v>
      </c>
      <c r="E39" s="2"/>
      <c r="F39" s="1"/>
      <c r="G39" s="5" t="s">
        <v>146</v>
      </c>
      <c r="H39" s="2"/>
      <c r="I39" s="1"/>
      <c r="J39" s="5" t="s">
        <v>147</v>
      </c>
      <c r="K39" s="2"/>
      <c r="L39" s="1"/>
      <c r="M39" s="5" t="s">
        <v>148</v>
      </c>
      <c r="N39" s="2"/>
      <c r="O39" s="1"/>
      <c r="P39" s="5" t="s">
        <v>149</v>
      </c>
      <c r="Q39" s="2"/>
      <c r="R39" s="6"/>
      <c r="S39" s="5" t="s">
        <v>150</v>
      </c>
      <c r="T39" s="1"/>
      <c r="U39" s="1"/>
      <c r="V39" s="100" t="s">
        <v>33</v>
      </c>
      <c r="W39" s="101">
        <v>0.0</v>
      </c>
      <c r="X39" s="100"/>
      <c r="Y39" s="100" t="s">
        <v>174</v>
      </c>
      <c r="Z39" s="101">
        <v>6.0</v>
      </c>
    </row>
    <row r="40" ht="12.75" customHeight="1">
      <c r="A40" s="9" t="s">
        <v>6</v>
      </c>
      <c r="B40" s="10">
        <v>5.0</v>
      </c>
      <c r="C40" s="14" t="s">
        <v>9</v>
      </c>
      <c r="D40" s="1" t="s">
        <v>151</v>
      </c>
      <c r="E40" s="10">
        <v>18.0</v>
      </c>
      <c r="F40" s="14" t="s">
        <v>9</v>
      </c>
      <c r="G40" s="1" t="s">
        <v>152</v>
      </c>
      <c r="H40" s="10" t="s">
        <v>345</v>
      </c>
      <c r="I40" s="14"/>
      <c r="J40" s="9" t="s">
        <v>153</v>
      </c>
      <c r="K40" s="10" t="s">
        <v>345</v>
      </c>
      <c r="L40" s="14"/>
      <c r="M40" s="9" t="s">
        <v>154</v>
      </c>
      <c r="N40" s="10">
        <v>13.0</v>
      </c>
      <c r="O40" s="14" t="s">
        <v>9</v>
      </c>
      <c r="P40" s="1" t="s">
        <v>155</v>
      </c>
      <c r="Q40" s="10" t="s">
        <v>345</v>
      </c>
      <c r="R40" s="14"/>
      <c r="S40" s="9" t="s">
        <v>156</v>
      </c>
      <c r="T40" s="9"/>
      <c r="U40" s="9"/>
      <c r="V40" s="100" t="s">
        <v>39</v>
      </c>
      <c r="W40" s="101">
        <v>5.0</v>
      </c>
      <c r="X40" s="100"/>
      <c r="Y40" s="100" t="s">
        <v>180</v>
      </c>
      <c r="Z40" s="101">
        <v>2.0</v>
      </c>
    </row>
    <row r="41" ht="12.75" customHeight="1">
      <c r="A41" s="9"/>
      <c r="B41" s="10" t="s">
        <v>345</v>
      </c>
      <c r="C41" s="14"/>
      <c r="D41" s="9" t="s">
        <v>163</v>
      </c>
      <c r="E41" s="10" t="s">
        <v>345</v>
      </c>
      <c r="F41" s="14"/>
      <c r="G41" s="9" t="s">
        <v>158</v>
      </c>
      <c r="H41" s="10">
        <v>27.0</v>
      </c>
      <c r="I41" s="14" t="s">
        <v>9</v>
      </c>
      <c r="J41" s="5" t="s">
        <v>159</v>
      </c>
      <c r="K41" s="10">
        <v>3.0</v>
      </c>
      <c r="L41" s="14" t="s">
        <v>9</v>
      </c>
      <c r="M41" s="1" t="s">
        <v>160</v>
      </c>
      <c r="N41" s="10" t="s">
        <v>345</v>
      </c>
      <c r="O41" s="14"/>
      <c r="P41" s="12" t="s">
        <v>161</v>
      </c>
      <c r="Q41" s="10">
        <v>20.0</v>
      </c>
      <c r="R41" s="14" t="s">
        <v>9</v>
      </c>
      <c r="S41" s="1" t="s">
        <v>162</v>
      </c>
      <c r="T41" s="9"/>
      <c r="U41" s="9"/>
      <c r="V41" s="100" t="s">
        <v>52</v>
      </c>
      <c r="W41" s="101">
        <v>3.0</v>
      </c>
      <c r="X41" s="100"/>
      <c r="Y41" s="100" t="s">
        <v>198</v>
      </c>
      <c r="Z41" s="101">
        <v>6.0</v>
      </c>
    </row>
    <row r="42" ht="12.75" customHeight="1">
      <c r="A42" s="9"/>
      <c r="B42" s="10" t="s">
        <v>345</v>
      </c>
      <c r="C42" s="14"/>
      <c r="D42" s="12" t="s">
        <v>157</v>
      </c>
      <c r="E42" s="10" t="s">
        <v>345</v>
      </c>
      <c r="F42" s="14"/>
      <c r="G42" s="12" t="s">
        <v>164</v>
      </c>
      <c r="H42" s="10" t="s">
        <v>345</v>
      </c>
      <c r="I42" s="14"/>
      <c r="J42" s="12" t="s">
        <v>365</v>
      </c>
      <c r="K42" s="10" t="s">
        <v>345</v>
      </c>
      <c r="L42" s="14"/>
      <c r="M42" s="9" t="s">
        <v>363</v>
      </c>
      <c r="N42" s="10" t="s">
        <v>345</v>
      </c>
      <c r="O42" s="14"/>
      <c r="P42" s="12" t="s">
        <v>167</v>
      </c>
      <c r="Q42" s="10" t="s">
        <v>345</v>
      </c>
      <c r="R42" s="14"/>
      <c r="S42" s="12" t="s">
        <v>168</v>
      </c>
      <c r="T42" s="9"/>
      <c r="U42" s="9"/>
      <c r="V42" s="100" t="s">
        <v>58</v>
      </c>
      <c r="W42" s="101">
        <v>8.0</v>
      </c>
      <c r="X42" s="100"/>
      <c r="Y42" s="100" t="s">
        <v>204</v>
      </c>
      <c r="Z42" s="101">
        <v>0.0</v>
      </c>
    </row>
    <row r="43" ht="12.75" customHeight="1">
      <c r="A43" s="9"/>
      <c r="B43" s="10"/>
      <c r="C43" s="3"/>
      <c r="D43" s="9"/>
      <c r="E43" s="10"/>
      <c r="F43" s="3"/>
      <c r="G43" s="9"/>
      <c r="H43" s="10"/>
      <c r="I43" s="3"/>
      <c r="J43" s="9"/>
      <c r="K43" s="10"/>
      <c r="L43" s="3"/>
      <c r="M43" s="9"/>
      <c r="N43" s="10"/>
      <c r="O43" s="3"/>
      <c r="P43" s="9"/>
      <c r="Q43" s="10"/>
      <c r="R43" s="3"/>
      <c r="S43" s="9"/>
      <c r="T43" s="9"/>
      <c r="U43" s="9"/>
      <c r="V43" s="100" t="s">
        <v>93</v>
      </c>
      <c r="W43" s="101">
        <v>0.0</v>
      </c>
      <c r="X43" s="100"/>
      <c r="Y43" s="100" t="s">
        <v>234</v>
      </c>
      <c r="Z43" s="101">
        <v>14.0</v>
      </c>
    </row>
    <row r="44" ht="12.75" customHeight="1">
      <c r="A44" s="9" t="s">
        <v>26</v>
      </c>
      <c r="B44" s="10">
        <v>0.0</v>
      </c>
      <c r="C44" s="14" t="s">
        <v>9</v>
      </c>
      <c r="D44" s="1" t="s">
        <v>169</v>
      </c>
      <c r="E44" s="10">
        <v>9.0</v>
      </c>
      <c r="F44" s="14" t="s">
        <v>9</v>
      </c>
      <c r="G44" s="1" t="s">
        <v>170</v>
      </c>
      <c r="H44" s="10" t="s">
        <v>345</v>
      </c>
      <c r="I44" s="14"/>
      <c r="J44" s="9" t="s">
        <v>171</v>
      </c>
      <c r="K44" s="10">
        <v>20.0</v>
      </c>
      <c r="L44" s="14" t="s">
        <v>9</v>
      </c>
      <c r="M44" s="1" t="s">
        <v>172</v>
      </c>
      <c r="N44" s="10" t="s">
        <v>345</v>
      </c>
      <c r="O44" s="14"/>
      <c r="P44" s="12" t="s">
        <v>173</v>
      </c>
      <c r="Q44" s="10">
        <v>6.0</v>
      </c>
      <c r="R44" s="14" t="s">
        <v>9</v>
      </c>
      <c r="S44" s="1" t="s">
        <v>174</v>
      </c>
      <c r="T44" s="9"/>
      <c r="U44" s="9"/>
      <c r="V44" s="100" t="s">
        <v>97</v>
      </c>
      <c r="W44" s="101">
        <v>4.0</v>
      </c>
      <c r="X44" s="100"/>
      <c r="Y44" s="100" t="s">
        <v>240</v>
      </c>
      <c r="Z44" s="101">
        <v>4.0</v>
      </c>
    </row>
    <row r="45" ht="12.75" customHeight="1">
      <c r="A45" s="9"/>
      <c r="B45" s="10" t="s">
        <v>345</v>
      </c>
      <c r="C45" s="14"/>
      <c r="D45" s="9" t="s">
        <v>175</v>
      </c>
      <c r="E45" s="10">
        <v>2.0</v>
      </c>
      <c r="F45" s="14" t="s">
        <v>9</v>
      </c>
      <c r="G45" s="1" t="s">
        <v>176</v>
      </c>
      <c r="H45" s="10" t="s">
        <v>345</v>
      </c>
      <c r="I45" s="14"/>
      <c r="J45" s="12" t="s">
        <v>177</v>
      </c>
      <c r="K45" s="10">
        <v>6.0</v>
      </c>
      <c r="L45" s="14" t="s">
        <v>9</v>
      </c>
      <c r="M45" s="1" t="s">
        <v>178</v>
      </c>
      <c r="N45" s="10">
        <v>0.0</v>
      </c>
      <c r="O45" s="14" t="s">
        <v>9</v>
      </c>
      <c r="P45" s="1" t="s">
        <v>179</v>
      </c>
      <c r="Q45" s="10">
        <v>2.0</v>
      </c>
      <c r="R45" s="14" t="s">
        <v>9</v>
      </c>
      <c r="S45" s="1" t="s">
        <v>180</v>
      </c>
      <c r="T45" s="9"/>
      <c r="U45" s="9"/>
      <c r="V45" s="100" t="s">
        <v>110</v>
      </c>
      <c r="W45" s="101">
        <v>0.0</v>
      </c>
      <c r="X45" s="100"/>
      <c r="Y45" s="100" t="s">
        <v>252</v>
      </c>
      <c r="Z45" s="101">
        <v>10.0</v>
      </c>
    </row>
    <row r="46" ht="12.75" customHeight="1">
      <c r="A46" s="9"/>
      <c r="B46" s="10">
        <v>15.0</v>
      </c>
      <c r="C46" s="14" t="s">
        <v>9</v>
      </c>
      <c r="D46" s="5" t="s">
        <v>181</v>
      </c>
      <c r="E46" s="10" t="s">
        <v>345</v>
      </c>
      <c r="F46" s="14"/>
      <c r="G46" s="9" t="s">
        <v>182</v>
      </c>
      <c r="H46" s="10">
        <v>0.0</v>
      </c>
      <c r="I46" s="14" t="s">
        <v>9</v>
      </c>
      <c r="J46" s="5" t="s">
        <v>183</v>
      </c>
      <c r="K46" s="10" t="s">
        <v>345</v>
      </c>
      <c r="L46" s="14"/>
      <c r="M46" s="12" t="s">
        <v>184</v>
      </c>
      <c r="N46" s="10" t="s">
        <v>345</v>
      </c>
      <c r="O46" s="14"/>
      <c r="P46" s="18" t="s">
        <v>185</v>
      </c>
      <c r="Q46" s="10" t="s">
        <v>345</v>
      </c>
      <c r="R46" s="14"/>
      <c r="S46" s="12" t="s">
        <v>186</v>
      </c>
      <c r="T46" s="9"/>
      <c r="U46" s="9"/>
      <c r="V46" s="100" t="s">
        <v>123</v>
      </c>
      <c r="W46" s="101">
        <v>0.0</v>
      </c>
      <c r="X46" s="100"/>
      <c r="Y46" s="100" t="s">
        <v>270</v>
      </c>
      <c r="Z46" s="101">
        <v>7.0</v>
      </c>
    </row>
    <row r="47" ht="12.75" customHeight="1">
      <c r="A47" s="9"/>
      <c r="B47" s="10" t="s">
        <v>345</v>
      </c>
      <c r="C47" s="14"/>
      <c r="D47" s="12" t="s">
        <v>366</v>
      </c>
      <c r="E47" s="10" t="s">
        <v>345</v>
      </c>
      <c r="F47" s="14"/>
      <c r="G47" s="12" t="s">
        <v>188</v>
      </c>
      <c r="H47" s="10">
        <v>0.0</v>
      </c>
      <c r="I47" s="14" t="s">
        <v>9</v>
      </c>
      <c r="J47" s="5" t="s">
        <v>189</v>
      </c>
      <c r="K47" s="10" t="s">
        <v>345</v>
      </c>
      <c r="L47" s="14"/>
      <c r="M47" s="12" t="s">
        <v>37</v>
      </c>
      <c r="N47" s="10">
        <v>0.0</v>
      </c>
      <c r="O47" s="14" t="s">
        <v>9</v>
      </c>
      <c r="P47" s="5" t="s">
        <v>191</v>
      </c>
      <c r="Q47" s="10" t="s">
        <v>345</v>
      </c>
      <c r="R47" s="14"/>
      <c r="S47" s="9" t="s">
        <v>367</v>
      </c>
      <c r="T47" s="9"/>
      <c r="U47" s="9"/>
      <c r="V47" s="100"/>
      <c r="W47" s="101">
        <v>20.0</v>
      </c>
      <c r="X47" s="100"/>
      <c r="Y47" s="100"/>
      <c r="Z47" s="101">
        <v>69.0</v>
      </c>
    </row>
    <row r="48" ht="12.75" customHeight="1">
      <c r="A48" s="9"/>
      <c r="B48" s="10"/>
      <c r="C48" s="3"/>
      <c r="D48" s="9"/>
      <c r="E48" s="10"/>
      <c r="F48" s="3"/>
      <c r="G48" s="9"/>
      <c r="H48" s="10"/>
      <c r="I48" s="3"/>
      <c r="J48" s="9"/>
      <c r="K48" s="10"/>
      <c r="L48" s="3"/>
      <c r="M48" s="9"/>
      <c r="N48" s="10"/>
      <c r="O48" s="3"/>
      <c r="P48" s="9"/>
      <c r="Q48" s="10"/>
      <c r="R48" s="3"/>
      <c r="S48" s="9"/>
      <c r="T48" s="9"/>
      <c r="U48" s="9"/>
      <c r="V48" s="100"/>
      <c r="W48" s="101"/>
      <c r="X48" s="100"/>
      <c r="Y48" s="100"/>
      <c r="Z48" s="101"/>
    </row>
    <row r="49" ht="12.75" customHeight="1">
      <c r="A49" s="9" t="s">
        <v>51</v>
      </c>
      <c r="B49" s="10">
        <v>6.0</v>
      </c>
      <c r="C49" s="14" t="s">
        <v>9</v>
      </c>
      <c r="D49" s="1" t="s">
        <v>193</v>
      </c>
      <c r="E49" s="10">
        <v>6.0</v>
      </c>
      <c r="F49" s="14" t="s">
        <v>9</v>
      </c>
      <c r="G49" s="1" t="s">
        <v>194</v>
      </c>
      <c r="H49" s="10">
        <v>2.0</v>
      </c>
      <c r="I49" s="14" t="s">
        <v>9</v>
      </c>
      <c r="J49" s="1" t="s">
        <v>364</v>
      </c>
      <c r="K49" s="10">
        <v>3.0</v>
      </c>
      <c r="L49" s="14" t="s">
        <v>9</v>
      </c>
      <c r="M49" s="1" t="s">
        <v>196</v>
      </c>
      <c r="N49" s="10">
        <v>0.0</v>
      </c>
      <c r="O49" s="14" t="s">
        <v>9</v>
      </c>
      <c r="P49" s="1" t="s">
        <v>197</v>
      </c>
      <c r="Q49" s="10">
        <v>6.0</v>
      </c>
      <c r="R49" s="14" t="s">
        <v>9</v>
      </c>
      <c r="S49" s="5" t="s">
        <v>198</v>
      </c>
      <c r="T49" s="9"/>
      <c r="U49" s="9"/>
      <c r="V49" s="98" t="s">
        <v>321</v>
      </c>
      <c r="W49" s="99"/>
      <c r="X49" s="98"/>
      <c r="Y49" s="98" t="s">
        <v>320</v>
      </c>
      <c r="Z49" s="99"/>
    </row>
    <row r="50" ht="12.75" customHeight="1">
      <c r="A50" s="9"/>
      <c r="B50" s="10" t="s">
        <v>345</v>
      </c>
      <c r="C50" s="14"/>
      <c r="D50" s="9" t="s">
        <v>199</v>
      </c>
      <c r="E50" s="10">
        <v>9.0</v>
      </c>
      <c r="F50" s="14" t="s">
        <v>9</v>
      </c>
      <c r="G50" s="5" t="s">
        <v>200</v>
      </c>
      <c r="H50" s="10" t="s">
        <v>345</v>
      </c>
      <c r="I50" s="14"/>
      <c r="J50" s="9" t="s">
        <v>201</v>
      </c>
      <c r="K50" s="10" t="s">
        <v>345</v>
      </c>
      <c r="L50" s="14"/>
      <c r="M50" s="9" t="s">
        <v>202</v>
      </c>
      <c r="N50" s="10" t="s">
        <v>345</v>
      </c>
      <c r="O50" s="14"/>
      <c r="P50" s="9" t="s">
        <v>203</v>
      </c>
      <c r="Q50" s="10">
        <v>0.0</v>
      </c>
      <c r="R50" s="14" t="s">
        <v>9</v>
      </c>
      <c r="S50" s="1" t="s">
        <v>204</v>
      </c>
      <c r="T50" s="9"/>
      <c r="U50" s="9"/>
      <c r="V50" s="100" t="s">
        <v>11</v>
      </c>
      <c r="W50" s="101">
        <v>15.0</v>
      </c>
      <c r="X50" s="100"/>
      <c r="Y50" s="100" t="s">
        <v>22</v>
      </c>
      <c r="Z50" s="101">
        <v>26.0</v>
      </c>
    </row>
    <row r="51" ht="12.75" customHeight="1">
      <c r="A51" s="9"/>
      <c r="B51" s="10">
        <v>0.0</v>
      </c>
      <c r="C51" s="14" t="s">
        <v>9</v>
      </c>
      <c r="D51" s="1" t="s">
        <v>205</v>
      </c>
      <c r="E51" s="10" t="s">
        <v>345</v>
      </c>
      <c r="F51" s="14"/>
      <c r="G51" s="9" t="s">
        <v>206</v>
      </c>
      <c r="H51" s="10">
        <v>0.0</v>
      </c>
      <c r="I51" s="14" t="s">
        <v>9</v>
      </c>
      <c r="J51" s="4" t="s">
        <v>207</v>
      </c>
      <c r="K51" s="10">
        <v>6.0</v>
      </c>
      <c r="L51" s="14" t="s">
        <v>9</v>
      </c>
      <c r="M51" s="1" t="s">
        <v>208</v>
      </c>
      <c r="N51" s="10" t="s">
        <v>345</v>
      </c>
      <c r="O51" s="14"/>
      <c r="P51" s="9" t="s">
        <v>209</v>
      </c>
      <c r="Q51" s="10" t="s">
        <v>345</v>
      </c>
      <c r="R51" s="14"/>
      <c r="S51" s="9" t="s">
        <v>210</v>
      </c>
      <c r="T51" s="9"/>
      <c r="U51" s="9"/>
      <c r="V51" s="100" t="s">
        <v>30</v>
      </c>
      <c r="W51" s="101">
        <v>6.0</v>
      </c>
      <c r="X51" s="100"/>
      <c r="Y51" s="100" t="s">
        <v>29</v>
      </c>
      <c r="Z51" s="101">
        <v>14.0</v>
      </c>
    </row>
    <row r="52" ht="12.75" customHeight="1">
      <c r="A52" s="9"/>
      <c r="B52" s="10" t="s">
        <v>345</v>
      </c>
      <c r="C52" s="14"/>
      <c r="D52" s="12" t="s">
        <v>368</v>
      </c>
      <c r="E52" s="10" t="s">
        <v>345</v>
      </c>
      <c r="F52" s="14"/>
      <c r="G52" s="17" t="s">
        <v>212</v>
      </c>
      <c r="H52" s="10" t="s">
        <v>345</v>
      </c>
      <c r="I52" s="14"/>
      <c r="J52" s="12" t="s">
        <v>213</v>
      </c>
      <c r="K52" s="10" t="s">
        <v>345</v>
      </c>
      <c r="L52" s="14"/>
      <c r="M52" s="12" t="s">
        <v>349</v>
      </c>
      <c r="N52" s="10">
        <v>0.0</v>
      </c>
      <c r="O52" s="14" t="s">
        <v>9</v>
      </c>
      <c r="P52" s="5" t="s">
        <v>215</v>
      </c>
      <c r="Q52" s="10" t="s">
        <v>345</v>
      </c>
      <c r="R52" s="14"/>
      <c r="S52" s="12" t="s">
        <v>216</v>
      </c>
      <c r="T52" s="9"/>
      <c r="U52" s="9"/>
      <c r="V52" s="100" t="s">
        <v>48</v>
      </c>
      <c r="W52" s="101">
        <v>0.0</v>
      </c>
      <c r="X52" s="100"/>
      <c r="Y52" s="100" t="s">
        <v>35</v>
      </c>
      <c r="Z52" s="101">
        <v>6.0</v>
      </c>
    </row>
    <row r="53" ht="12.75" customHeight="1">
      <c r="A53" s="9"/>
      <c r="B53" s="10"/>
      <c r="C53" s="3"/>
      <c r="D53" s="9"/>
      <c r="E53" s="10"/>
      <c r="F53" s="3"/>
      <c r="G53" s="9"/>
      <c r="H53" s="10"/>
      <c r="I53" s="3"/>
      <c r="J53" s="9"/>
      <c r="K53" s="10"/>
      <c r="L53" s="3"/>
      <c r="M53" s="9"/>
      <c r="N53" s="10"/>
      <c r="O53" s="3"/>
      <c r="P53" s="9"/>
      <c r="Q53" s="10"/>
      <c r="R53" s="3"/>
      <c r="S53" s="9"/>
      <c r="T53" s="9"/>
      <c r="U53" s="9"/>
      <c r="V53" s="100" t="s">
        <v>67</v>
      </c>
      <c r="W53" s="101">
        <v>8.0</v>
      </c>
      <c r="X53" s="100"/>
      <c r="Y53" s="100" t="s">
        <v>54</v>
      </c>
      <c r="Z53" s="101">
        <v>15.0</v>
      </c>
    </row>
    <row r="54" ht="12.75" customHeight="1">
      <c r="A54" s="9" t="s">
        <v>76</v>
      </c>
      <c r="B54" s="10">
        <v>0.0</v>
      </c>
      <c r="C54" s="14" t="s">
        <v>9</v>
      </c>
      <c r="D54" s="1" t="s">
        <v>217</v>
      </c>
      <c r="E54" s="10">
        <v>0.0</v>
      </c>
      <c r="F54" s="14" t="s">
        <v>9</v>
      </c>
      <c r="G54" s="1" t="s">
        <v>218</v>
      </c>
      <c r="H54" s="10" t="s">
        <v>345</v>
      </c>
      <c r="I54" s="14"/>
      <c r="J54" s="9" t="s">
        <v>219</v>
      </c>
      <c r="K54" s="10" t="s">
        <v>345</v>
      </c>
      <c r="L54" s="14"/>
      <c r="M54" s="12" t="s">
        <v>220</v>
      </c>
      <c r="N54" s="10">
        <v>0.0</v>
      </c>
      <c r="O54" s="14" t="s">
        <v>9</v>
      </c>
      <c r="P54" s="1" t="s">
        <v>221</v>
      </c>
      <c r="Q54" s="10" t="s">
        <v>345</v>
      </c>
      <c r="R54" s="14"/>
      <c r="S54" s="9" t="s">
        <v>222</v>
      </c>
      <c r="T54" s="9"/>
      <c r="U54" s="9"/>
      <c r="V54" s="100" t="s">
        <v>73</v>
      </c>
      <c r="W54" s="101">
        <v>13.0</v>
      </c>
      <c r="X54" s="100"/>
      <c r="Y54" s="100" t="s">
        <v>66</v>
      </c>
      <c r="Z54" s="101">
        <v>2.0</v>
      </c>
    </row>
    <row r="55" ht="12.75" customHeight="1">
      <c r="A55" s="9"/>
      <c r="B55" s="10" t="s">
        <v>345</v>
      </c>
      <c r="C55" s="14"/>
      <c r="D55" s="12" t="s">
        <v>223</v>
      </c>
      <c r="E55" s="10" t="s">
        <v>345</v>
      </c>
      <c r="F55" s="14"/>
      <c r="G55" s="9" t="s">
        <v>224</v>
      </c>
      <c r="H55" s="10">
        <v>4.0</v>
      </c>
      <c r="I55" s="14" t="s">
        <v>9</v>
      </c>
      <c r="J55" s="1" t="s">
        <v>225</v>
      </c>
      <c r="K55" s="10">
        <v>8.0</v>
      </c>
      <c r="L55" s="14" t="s">
        <v>9</v>
      </c>
      <c r="M55" s="5" t="s">
        <v>226</v>
      </c>
      <c r="N55" s="10" t="s">
        <v>345</v>
      </c>
      <c r="O55" s="14"/>
      <c r="P55" s="9" t="s">
        <v>227</v>
      </c>
      <c r="Q55" s="10" t="s">
        <v>345</v>
      </c>
      <c r="R55" s="14"/>
      <c r="S55" s="12" t="s">
        <v>228</v>
      </c>
      <c r="T55" s="9"/>
      <c r="U55" s="9"/>
      <c r="V55" s="100" t="s">
        <v>92</v>
      </c>
      <c r="W55" s="101">
        <v>12.0</v>
      </c>
      <c r="X55" s="100"/>
      <c r="Y55" s="100" t="s">
        <v>91</v>
      </c>
      <c r="Z55" s="101">
        <v>6.0</v>
      </c>
    </row>
    <row r="56" ht="12.75" customHeight="1">
      <c r="A56" s="9"/>
      <c r="B56" s="10" t="s">
        <v>345</v>
      </c>
      <c r="C56" s="14"/>
      <c r="D56" s="12" t="s">
        <v>229</v>
      </c>
      <c r="E56" s="10" t="s">
        <v>345</v>
      </c>
      <c r="F56" s="14"/>
      <c r="G56" s="9" t="s">
        <v>230</v>
      </c>
      <c r="H56" s="10" t="s">
        <v>345</v>
      </c>
      <c r="I56" s="14"/>
      <c r="J56" s="12" t="s">
        <v>231</v>
      </c>
      <c r="K56" s="10" t="s">
        <v>345</v>
      </c>
      <c r="L56" s="14"/>
      <c r="M56" s="12" t="s">
        <v>369</v>
      </c>
      <c r="N56" s="10" t="s">
        <v>345</v>
      </c>
      <c r="O56" s="14"/>
      <c r="P56" s="9" t="s">
        <v>233</v>
      </c>
      <c r="Q56" s="10">
        <v>14.0</v>
      </c>
      <c r="R56" s="14" t="s">
        <v>9</v>
      </c>
      <c r="S56" s="5" t="s">
        <v>234</v>
      </c>
      <c r="T56" s="9"/>
      <c r="U56" s="9"/>
      <c r="V56" s="100" t="s">
        <v>106</v>
      </c>
      <c r="W56" s="101">
        <v>7.0</v>
      </c>
      <c r="X56" s="100"/>
      <c r="Y56" s="100" t="s">
        <v>99</v>
      </c>
      <c r="Z56" s="101">
        <v>5.0</v>
      </c>
    </row>
    <row r="57" ht="12.75" customHeight="1">
      <c r="A57" s="9"/>
      <c r="B57" s="10"/>
      <c r="C57" s="3"/>
      <c r="D57" s="9"/>
      <c r="E57" s="10"/>
      <c r="F57" s="3"/>
      <c r="G57" s="9"/>
      <c r="H57" s="10"/>
      <c r="I57" s="3"/>
      <c r="J57" s="9"/>
      <c r="K57" s="10"/>
      <c r="L57" s="3"/>
      <c r="M57" s="9"/>
      <c r="N57" s="10"/>
      <c r="O57" s="3"/>
      <c r="P57" s="9"/>
      <c r="Q57" s="10"/>
      <c r="R57" s="3"/>
      <c r="S57" s="9"/>
      <c r="T57" s="9"/>
      <c r="U57" s="9"/>
      <c r="V57" s="100" t="s">
        <v>121</v>
      </c>
      <c r="W57" s="101">
        <v>0.0</v>
      </c>
      <c r="X57" s="100"/>
      <c r="Y57" s="100" t="s">
        <v>112</v>
      </c>
      <c r="Z57" s="101">
        <v>6.0</v>
      </c>
    </row>
    <row r="58" ht="12.75" customHeight="1">
      <c r="A58" s="9" t="s">
        <v>96</v>
      </c>
      <c r="B58" s="10">
        <v>7.0</v>
      </c>
      <c r="C58" s="14" t="s">
        <v>9</v>
      </c>
      <c r="D58" s="1" t="s">
        <v>235</v>
      </c>
      <c r="E58" s="10" t="s">
        <v>345</v>
      </c>
      <c r="F58" s="14"/>
      <c r="G58" s="9" t="s">
        <v>236</v>
      </c>
      <c r="H58" s="10" t="s">
        <v>345</v>
      </c>
      <c r="I58" s="14"/>
      <c r="J58" s="9" t="s">
        <v>370</v>
      </c>
      <c r="K58" s="10">
        <v>8.0</v>
      </c>
      <c r="L58" s="14" t="s">
        <v>9</v>
      </c>
      <c r="M58" s="5" t="s">
        <v>238</v>
      </c>
      <c r="N58" s="10">
        <v>15.0</v>
      </c>
      <c r="O58" s="14" t="s">
        <v>9</v>
      </c>
      <c r="P58" s="5" t="s">
        <v>239</v>
      </c>
      <c r="Q58" s="10">
        <v>4.0</v>
      </c>
      <c r="R58" s="14" t="s">
        <v>9</v>
      </c>
      <c r="S58" s="1" t="s">
        <v>240</v>
      </c>
      <c r="T58" s="9"/>
      <c r="U58" s="9"/>
      <c r="V58" s="100" t="s">
        <v>126</v>
      </c>
      <c r="W58" s="101">
        <v>7.0</v>
      </c>
      <c r="X58" s="100"/>
      <c r="Y58" s="100" t="s">
        <v>131</v>
      </c>
      <c r="Z58" s="101">
        <v>4.0</v>
      </c>
    </row>
    <row r="59" ht="12.75" customHeight="1">
      <c r="A59" s="9"/>
      <c r="B59" s="10" t="s">
        <v>345</v>
      </c>
      <c r="C59" s="14"/>
      <c r="D59" s="12" t="s">
        <v>371</v>
      </c>
      <c r="E59" s="10">
        <v>1.0</v>
      </c>
      <c r="F59" s="14" t="s">
        <v>9</v>
      </c>
      <c r="G59" s="1" t="s">
        <v>242</v>
      </c>
      <c r="H59" s="10">
        <v>5.0</v>
      </c>
      <c r="I59" s="14" t="s">
        <v>9</v>
      </c>
      <c r="J59" s="1" t="s">
        <v>237</v>
      </c>
      <c r="K59" s="10" t="s">
        <v>345</v>
      </c>
      <c r="L59" s="14"/>
      <c r="M59" s="12" t="s">
        <v>244</v>
      </c>
      <c r="N59" s="10" t="s">
        <v>345</v>
      </c>
      <c r="O59" s="14"/>
      <c r="P59" s="12" t="s">
        <v>245</v>
      </c>
      <c r="Q59" s="10" t="s">
        <v>345</v>
      </c>
      <c r="R59" s="14"/>
      <c r="S59" s="12" t="s">
        <v>246</v>
      </c>
      <c r="T59" s="9"/>
      <c r="U59" s="9"/>
      <c r="V59" s="100"/>
      <c r="W59" s="101">
        <v>68.0</v>
      </c>
      <c r="X59" s="100"/>
      <c r="Y59" s="100"/>
      <c r="Z59" s="101">
        <v>84.0</v>
      </c>
    </row>
    <row r="60" ht="12.75" customHeight="1">
      <c r="A60" s="9"/>
      <c r="B60" s="10"/>
      <c r="C60" s="3"/>
      <c r="D60" s="9"/>
      <c r="E60" s="10"/>
      <c r="F60" s="3"/>
      <c r="G60" s="9"/>
      <c r="H60" s="10"/>
      <c r="I60" s="3"/>
      <c r="J60" s="9"/>
      <c r="K60" s="10"/>
      <c r="L60" s="3"/>
      <c r="M60" s="9"/>
      <c r="N60" s="10"/>
      <c r="O60" s="3"/>
      <c r="P60" s="9"/>
      <c r="Q60" s="10"/>
      <c r="R60" s="3"/>
      <c r="S60" s="9"/>
      <c r="T60" s="9"/>
      <c r="U60" s="9"/>
      <c r="V60" s="100"/>
      <c r="W60" s="101"/>
      <c r="X60" s="100"/>
      <c r="Y60" s="100"/>
      <c r="Z60" s="101"/>
    </row>
    <row r="61" ht="12.75" customHeight="1">
      <c r="A61" s="9" t="s">
        <v>109</v>
      </c>
      <c r="B61" s="10">
        <v>0.0</v>
      </c>
      <c r="C61" s="14" t="s">
        <v>9</v>
      </c>
      <c r="D61" s="1" t="s">
        <v>247</v>
      </c>
      <c r="E61" s="10" t="s">
        <v>345</v>
      </c>
      <c r="F61" s="14"/>
      <c r="G61" s="12" t="s">
        <v>248</v>
      </c>
      <c r="H61" s="10" t="s">
        <v>345</v>
      </c>
      <c r="I61" s="14"/>
      <c r="J61" s="12" t="s">
        <v>249</v>
      </c>
      <c r="K61" s="10" t="s">
        <v>345</v>
      </c>
      <c r="L61" s="14"/>
      <c r="M61" s="12" t="s">
        <v>250</v>
      </c>
      <c r="N61" s="10" t="s">
        <v>345</v>
      </c>
      <c r="O61" s="14"/>
      <c r="P61" s="9" t="s">
        <v>251</v>
      </c>
      <c r="Q61" s="10">
        <v>10.0</v>
      </c>
      <c r="R61" s="14" t="s">
        <v>9</v>
      </c>
      <c r="S61" s="5" t="s">
        <v>252</v>
      </c>
      <c r="T61" s="9"/>
      <c r="U61" s="9"/>
      <c r="V61" s="98" t="s">
        <v>325</v>
      </c>
      <c r="W61" s="99"/>
      <c r="X61" s="98"/>
      <c r="Y61" s="98" t="s">
        <v>328</v>
      </c>
      <c r="Z61" s="99"/>
    </row>
    <row r="62" ht="12.75" customHeight="1">
      <c r="A62" s="9"/>
      <c r="B62" s="10" t="s">
        <v>345</v>
      </c>
      <c r="C62" s="14"/>
      <c r="D62" s="9" t="s">
        <v>253</v>
      </c>
      <c r="E62" s="10">
        <v>4.0</v>
      </c>
      <c r="F62" s="14" t="s">
        <v>9</v>
      </c>
      <c r="G62" s="5" t="s">
        <v>254</v>
      </c>
      <c r="H62" s="10">
        <v>16.0</v>
      </c>
      <c r="I62" s="14" t="s">
        <v>9</v>
      </c>
      <c r="J62" s="5" t="s">
        <v>255</v>
      </c>
      <c r="K62" s="10">
        <v>3.0</v>
      </c>
      <c r="L62" s="14" t="s">
        <v>9</v>
      </c>
      <c r="M62" s="1" t="s">
        <v>256</v>
      </c>
      <c r="N62" s="10">
        <v>7.0</v>
      </c>
      <c r="O62" s="14" t="s">
        <v>9</v>
      </c>
      <c r="P62" s="5" t="s">
        <v>257</v>
      </c>
      <c r="Q62" s="10" t="s">
        <v>345</v>
      </c>
      <c r="R62" s="14"/>
      <c r="S62" s="12" t="s">
        <v>258</v>
      </c>
      <c r="T62" s="9"/>
      <c r="U62" s="9"/>
      <c r="V62" s="100" t="s">
        <v>152</v>
      </c>
      <c r="W62" s="101">
        <v>18.0</v>
      </c>
      <c r="X62" s="100"/>
      <c r="Y62" s="100" t="s">
        <v>155</v>
      </c>
      <c r="Z62" s="101">
        <v>13.0</v>
      </c>
    </row>
    <row r="63" ht="12.75" customHeight="1">
      <c r="A63" s="9"/>
      <c r="B63" s="10"/>
      <c r="C63" s="3"/>
      <c r="D63" s="9"/>
      <c r="E63" s="10"/>
      <c r="F63" s="3"/>
      <c r="G63" s="9"/>
      <c r="H63" s="10"/>
      <c r="I63" s="3"/>
      <c r="J63" s="9"/>
      <c r="K63" s="10"/>
      <c r="L63" s="3"/>
      <c r="M63" s="9"/>
      <c r="N63" s="10"/>
      <c r="O63" s="3"/>
      <c r="P63" s="9"/>
      <c r="Q63" s="10"/>
      <c r="R63" s="3"/>
      <c r="S63" s="9"/>
      <c r="T63" s="9"/>
      <c r="U63" s="9"/>
      <c r="V63" s="100" t="s">
        <v>170</v>
      </c>
      <c r="W63" s="101">
        <v>9.0</v>
      </c>
      <c r="X63" s="100"/>
      <c r="Y63" s="100" t="s">
        <v>179</v>
      </c>
      <c r="Z63" s="101">
        <v>0.0</v>
      </c>
    </row>
    <row r="64" ht="12.75" customHeight="1">
      <c r="A64" s="9" t="s">
        <v>122</v>
      </c>
      <c r="B64" s="10" t="s">
        <v>345</v>
      </c>
      <c r="C64" s="14"/>
      <c r="D64" s="12" t="s">
        <v>259</v>
      </c>
      <c r="E64" s="10" t="s">
        <v>345</v>
      </c>
      <c r="F64" s="14"/>
      <c r="G64" s="9" t="s">
        <v>260</v>
      </c>
      <c r="H64" s="10">
        <v>0.0</v>
      </c>
      <c r="I64" s="14" t="s">
        <v>9</v>
      </c>
      <c r="J64" s="1" t="s">
        <v>261</v>
      </c>
      <c r="K64" s="10">
        <v>0.0</v>
      </c>
      <c r="L64" s="14" t="s">
        <v>9</v>
      </c>
      <c r="M64" s="5" t="s">
        <v>262</v>
      </c>
      <c r="N64" s="10" t="s">
        <v>345</v>
      </c>
      <c r="O64" s="14"/>
      <c r="P64" s="12" t="s">
        <v>263</v>
      </c>
      <c r="Q64" s="10" t="s">
        <v>345</v>
      </c>
      <c r="R64" s="14"/>
      <c r="S64" s="9" t="s">
        <v>264</v>
      </c>
      <c r="T64" s="9"/>
      <c r="U64" s="9"/>
      <c r="V64" s="100" t="s">
        <v>176</v>
      </c>
      <c r="W64" s="101">
        <v>2.0</v>
      </c>
      <c r="X64" s="100"/>
      <c r="Y64" s="100" t="s">
        <v>191</v>
      </c>
      <c r="Z64" s="101">
        <v>0.0</v>
      </c>
    </row>
    <row r="65" ht="12.75" customHeight="1">
      <c r="A65" s="9"/>
      <c r="B65" s="10">
        <v>0.0</v>
      </c>
      <c r="C65" s="14" t="s">
        <v>9</v>
      </c>
      <c r="D65" s="1" t="s">
        <v>265</v>
      </c>
      <c r="E65" s="10">
        <v>0.0</v>
      </c>
      <c r="F65" s="14" t="s">
        <v>9</v>
      </c>
      <c r="G65" s="5" t="s">
        <v>266</v>
      </c>
      <c r="H65" s="10" t="s">
        <v>345</v>
      </c>
      <c r="I65" s="14"/>
      <c r="J65" s="9" t="s">
        <v>267</v>
      </c>
      <c r="K65" s="10" t="s">
        <v>345</v>
      </c>
      <c r="L65" s="14"/>
      <c r="M65" s="9" t="s">
        <v>268</v>
      </c>
      <c r="N65" s="10">
        <v>5.0</v>
      </c>
      <c r="O65" s="14" t="s">
        <v>9</v>
      </c>
      <c r="P65" s="1" t="s">
        <v>269</v>
      </c>
      <c r="Q65" s="10">
        <v>7.0</v>
      </c>
      <c r="R65" s="14" t="s">
        <v>9</v>
      </c>
      <c r="S65" s="5" t="s">
        <v>270</v>
      </c>
      <c r="T65" s="9"/>
      <c r="U65" s="9"/>
      <c r="V65" s="100" t="s">
        <v>194</v>
      </c>
      <c r="W65" s="101">
        <v>6.0</v>
      </c>
      <c r="X65" s="100"/>
      <c r="Y65" s="100" t="s">
        <v>197</v>
      </c>
      <c r="Z65" s="101">
        <v>0.0</v>
      </c>
    </row>
    <row r="66" ht="12.75" customHeight="1">
      <c r="A66" s="9"/>
      <c r="B66" s="2"/>
      <c r="C66" s="3"/>
      <c r="D66" s="9"/>
      <c r="E66" s="10"/>
      <c r="F66" s="3"/>
      <c r="G66" s="9"/>
      <c r="H66" s="10"/>
      <c r="I66" s="3"/>
      <c r="J66" s="9"/>
      <c r="K66" s="10"/>
      <c r="L66" s="3"/>
      <c r="M66" s="9"/>
      <c r="N66" s="10"/>
      <c r="O66" s="3"/>
      <c r="P66" s="9"/>
      <c r="Q66" s="10"/>
      <c r="R66" s="3"/>
      <c r="S66" s="9"/>
      <c r="T66" s="9"/>
      <c r="U66" s="9"/>
      <c r="V66" s="100" t="s">
        <v>200</v>
      </c>
      <c r="W66" s="101">
        <v>9.0</v>
      </c>
      <c r="X66" s="100"/>
      <c r="Y66" s="100" t="s">
        <v>215</v>
      </c>
      <c r="Z66" s="101">
        <v>0.0</v>
      </c>
    </row>
    <row r="67" ht="12.75" customHeight="1">
      <c r="A67" s="19"/>
      <c r="B67" s="20"/>
      <c r="C67" s="21"/>
      <c r="D67" s="22">
        <v>33.0</v>
      </c>
      <c r="E67" s="20"/>
      <c r="F67" s="21"/>
      <c r="G67" s="22">
        <v>49.0</v>
      </c>
      <c r="H67" s="20"/>
      <c r="I67" s="21"/>
      <c r="J67" s="22">
        <v>54.0</v>
      </c>
      <c r="K67" s="20"/>
      <c r="L67" s="21"/>
      <c r="M67" s="22">
        <v>57.0</v>
      </c>
      <c r="N67" s="20"/>
      <c r="O67" s="21"/>
      <c r="P67" s="22">
        <v>40.0</v>
      </c>
      <c r="Q67" s="20"/>
      <c r="R67" s="21"/>
      <c r="S67" s="22">
        <v>69.0</v>
      </c>
      <c r="T67" s="19"/>
      <c r="U67" s="19"/>
      <c r="V67" s="100" t="s">
        <v>218</v>
      </c>
      <c r="W67" s="101">
        <v>0.0</v>
      </c>
      <c r="X67" s="100"/>
      <c r="Y67" s="100" t="s">
        <v>221</v>
      </c>
      <c r="Z67" s="101">
        <v>0.0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6"/>
      <c r="S68" s="9"/>
      <c r="T68" s="9"/>
      <c r="U68" s="9"/>
      <c r="V68" s="100" t="s">
        <v>242</v>
      </c>
      <c r="W68" s="101">
        <v>1.0</v>
      </c>
      <c r="X68" s="100"/>
      <c r="Y68" s="100" t="s">
        <v>239</v>
      </c>
      <c r="Z68" s="101">
        <v>15.0</v>
      </c>
    </row>
    <row r="69" ht="12.75" customHeight="1">
      <c r="A69" s="9" t="s">
        <v>135</v>
      </c>
      <c r="B69" s="2"/>
      <c r="C69" s="3"/>
      <c r="D69" s="9" t="s">
        <v>271</v>
      </c>
      <c r="E69" s="2"/>
      <c r="F69" s="6"/>
      <c r="G69" s="9" t="s">
        <v>272</v>
      </c>
      <c r="H69" s="2"/>
      <c r="I69" s="6"/>
      <c r="J69" s="9" t="s">
        <v>273</v>
      </c>
      <c r="K69" s="2"/>
      <c r="L69" s="6"/>
      <c r="M69" s="9" t="s">
        <v>274</v>
      </c>
      <c r="N69" s="2"/>
      <c r="O69" s="6"/>
      <c r="P69" s="9" t="s">
        <v>275</v>
      </c>
      <c r="Q69" s="2"/>
      <c r="R69" s="6"/>
      <c r="S69" s="9" t="s">
        <v>276</v>
      </c>
      <c r="T69" s="9"/>
      <c r="U69" s="9"/>
      <c r="V69" s="100" t="s">
        <v>254</v>
      </c>
      <c r="W69" s="101">
        <v>4.0</v>
      </c>
      <c r="X69" s="100"/>
      <c r="Y69" s="100" t="s">
        <v>257</v>
      </c>
      <c r="Z69" s="101">
        <v>7.0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277</v>
      </c>
      <c r="K70" s="2"/>
      <c r="L70" s="6"/>
      <c r="M70" s="9" t="s">
        <v>95</v>
      </c>
      <c r="N70" s="2"/>
      <c r="O70" s="6"/>
      <c r="P70" s="9"/>
      <c r="Q70" s="2"/>
      <c r="R70" s="6"/>
      <c r="S70" s="9"/>
      <c r="T70" s="9"/>
      <c r="U70" s="9"/>
      <c r="V70" s="100" t="s">
        <v>266</v>
      </c>
      <c r="W70" s="101">
        <v>0.0</v>
      </c>
      <c r="X70" s="100"/>
      <c r="Y70" s="100" t="s">
        <v>269</v>
      </c>
      <c r="Z70" s="101">
        <v>5.0</v>
      </c>
    </row>
    <row r="71" ht="12.75" customHeight="1">
      <c r="A71" s="9"/>
      <c r="B71" s="2"/>
      <c r="C71" s="3"/>
      <c r="D71" s="9"/>
      <c r="E71" s="2"/>
      <c r="F71" s="6"/>
      <c r="G71" s="28"/>
      <c r="H71" s="2"/>
      <c r="I71" s="6"/>
      <c r="J71" s="28"/>
      <c r="K71" s="2"/>
      <c r="L71" s="6"/>
      <c r="M71" s="28"/>
      <c r="N71" s="2"/>
      <c r="O71" s="6"/>
      <c r="P71" s="28"/>
      <c r="Q71" s="2"/>
      <c r="R71" s="6"/>
      <c r="S71" s="28"/>
      <c r="T71" s="9"/>
      <c r="U71" s="9"/>
      <c r="V71" s="100"/>
      <c r="W71" s="101">
        <v>49.0</v>
      </c>
      <c r="X71" s="100"/>
      <c r="Y71" s="100"/>
      <c r="Z71" s="101">
        <v>40.0</v>
      </c>
    </row>
    <row r="72" ht="12.75" customHeight="1">
      <c r="A72" s="9" t="s">
        <v>143</v>
      </c>
      <c r="B72" s="2"/>
      <c r="C72" s="3"/>
      <c r="D72" s="18"/>
      <c r="F72" s="29"/>
      <c r="G72" s="27"/>
      <c r="H72" s="25"/>
      <c r="J72" s="27"/>
      <c r="K72" s="26"/>
      <c r="M72" s="27"/>
      <c r="N72" s="26"/>
      <c r="P72" s="27"/>
      <c r="Q72" s="25"/>
      <c r="R72" s="30"/>
      <c r="S72" s="27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29"/>
      <c r="G73" s="27"/>
      <c r="H73" s="25"/>
      <c r="J73" s="27"/>
      <c r="K73" s="26"/>
      <c r="M73" s="27"/>
      <c r="N73" s="28"/>
      <c r="P73" s="27"/>
      <c r="Q73" s="25"/>
      <c r="R73" s="30"/>
      <c r="S73" s="25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29"/>
      <c r="G74" s="25"/>
      <c r="H74" s="25"/>
      <c r="J74" s="27"/>
      <c r="K74" s="26"/>
      <c r="M74" s="27"/>
      <c r="N74" s="26"/>
      <c r="P74" s="27"/>
      <c r="Q74" s="25"/>
      <c r="R74" s="30"/>
      <c r="S74" s="25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4.0"/>
    <col customWidth="1" min="23" max="23" width="4.0"/>
    <col customWidth="1" min="24" max="24" width="3.0"/>
    <col customWidth="1" min="25" max="25" width="22.29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8" t="s">
        <v>327</v>
      </c>
      <c r="W1" s="99"/>
      <c r="X1" s="98"/>
      <c r="Y1" s="98" t="s">
        <v>326</v>
      </c>
      <c r="Z1" s="99"/>
    </row>
    <row r="2" ht="12.75" customHeight="1">
      <c r="A2" s="9" t="s">
        <v>6</v>
      </c>
      <c r="B2" s="10" t="s">
        <v>345</v>
      </c>
      <c r="C2" s="14"/>
      <c r="D2" s="9" t="s">
        <v>7</v>
      </c>
      <c r="E2" s="10">
        <v>18.0</v>
      </c>
      <c r="F2" s="14" t="s">
        <v>9</v>
      </c>
      <c r="G2" s="5" t="s">
        <v>8</v>
      </c>
      <c r="H2" s="10" t="s">
        <v>345</v>
      </c>
      <c r="I2" s="14"/>
      <c r="J2" s="9" t="s">
        <v>10</v>
      </c>
      <c r="K2" s="10">
        <v>14.0</v>
      </c>
      <c r="L2" s="14" t="s">
        <v>9</v>
      </c>
      <c r="M2" s="5" t="s">
        <v>11</v>
      </c>
      <c r="N2" s="10">
        <v>10.0</v>
      </c>
      <c r="O2" s="14" t="s">
        <v>9</v>
      </c>
      <c r="P2" s="1" t="s">
        <v>12</v>
      </c>
      <c r="Q2" s="10">
        <v>15.0</v>
      </c>
      <c r="R2" s="14" t="s">
        <v>9</v>
      </c>
      <c r="S2" s="5" t="s">
        <v>13</v>
      </c>
      <c r="T2" s="9"/>
      <c r="U2" s="9"/>
      <c r="V2" s="100" t="s">
        <v>160</v>
      </c>
      <c r="W2" s="101">
        <v>23.0</v>
      </c>
      <c r="X2" s="100"/>
      <c r="Y2" s="100" t="s">
        <v>159</v>
      </c>
      <c r="Z2" s="101">
        <v>15.0</v>
      </c>
    </row>
    <row r="3" ht="12.75" customHeight="1">
      <c r="A3" s="9"/>
      <c r="B3" s="10">
        <v>8.0</v>
      </c>
      <c r="C3" s="14" t="s">
        <v>9</v>
      </c>
      <c r="D3" s="1" t="s">
        <v>14</v>
      </c>
      <c r="E3" s="10" t="s">
        <v>345</v>
      </c>
      <c r="F3" s="14"/>
      <c r="G3" s="12" t="s">
        <v>15</v>
      </c>
      <c r="H3" s="10" t="s">
        <v>345</v>
      </c>
      <c r="I3" s="14"/>
      <c r="J3" s="9" t="s">
        <v>16</v>
      </c>
      <c r="K3" s="10" t="s">
        <v>345</v>
      </c>
      <c r="L3" s="14"/>
      <c r="M3" s="9" t="s">
        <v>17</v>
      </c>
      <c r="N3" s="10" t="s">
        <v>345</v>
      </c>
      <c r="O3" s="14"/>
      <c r="P3" s="9" t="s">
        <v>166</v>
      </c>
      <c r="Q3" s="10" t="s">
        <v>345</v>
      </c>
      <c r="R3" s="14"/>
      <c r="S3" s="9" t="s">
        <v>346</v>
      </c>
      <c r="T3" s="9"/>
      <c r="U3" s="9"/>
      <c r="V3" s="100" t="s">
        <v>172</v>
      </c>
      <c r="W3" s="101">
        <v>9.0</v>
      </c>
      <c r="X3" s="100"/>
      <c r="Y3" s="100" t="s">
        <v>171</v>
      </c>
      <c r="Z3" s="101">
        <v>13.0</v>
      </c>
    </row>
    <row r="4" ht="12.75" customHeight="1">
      <c r="A4" s="9"/>
      <c r="B4" s="10" t="s">
        <v>345</v>
      </c>
      <c r="C4" s="14"/>
      <c r="D4" s="12" t="s">
        <v>20</v>
      </c>
      <c r="E4" s="10" t="s">
        <v>345</v>
      </c>
      <c r="F4" s="14"/>
      <c r="G4" s="12" t="s">
        <v>165</v>
      </c>
      <c r="H4" s="10">
        <v>21.0</v>
      </c>
      <c r="I4" s="14" t="s">
        <v>9</v>
      </c>
      <c r="J4" s="5" t="s">
        <v>22</v>
      </c>
      <c r="K4" s="10" t="s">
        <v>345</v>
      </c>
      <c r="L4" s="14"/>
      <c r="M4" s="12" t="s">
        <v>23</v>
      </c>
      <c r="N4" s="10" t="s">
        <v>345</v>
      </c>
      <c r="O4" s="14"/>
      <c r="P4" s="9" t="s">
        <v>18</v>
      </c>
      <c r="Q4" s="10" t="s">
        <v>345</v>
      </c>
      <c r="R4" s="14"/>
      <c r="S4" s="12" t="s">
        <v>347</v>
      </c>
      <c r="T4" s="9"/>
      <c r="U4" s="9"/>
      <c r="V4" s="100" t="s">
        <v>178</v>
      </c>
      <c r="W4" s="101">
        <v>3.0</v>
      </c>
      <c r="X4" s="100"/>
      <c r="Y4" s="100" t="s">
        <v>183</v>
      </c>
      <c r="Z4" s="101">
        <v>2.0</v>
      </c>
    </row>
    <row r="5" ht="12.75" customHeight="1">
      <c r="A5" s="9"/>
      <c r="B5" s="10"/>
      <c r="C5" s="3"/>
      <c r="D5" s="9"/>
      <c r="E5" s="10"/>
      <c r="F5" s="3"/>
      <c r="G5" s="9"/>
      <c r="H5" s="10" t="s">
        <v>345</v>
      </c>
      <c r="I5" s="3"/>
      <c r="J5" s="9"/>
      <c r="K5" s="10"/>
      <c r="L5" s="3"/>
      <c r="M5" s="9"/>
      <c r="N5" s="10"/>
      <c r="O5" s="3"/>
      <c r="P5" s="9"/>
      <c r="Q5" s="10"/>
      <c r="R5" s="3"/>
      <c r="S5" s="9"/>
      <c r="T5" s="9"/>
      <c r="U5" s="9"/>
      <c r="V5" s="100" t="s">
        <v>196</v>
      </c>
      <c r="W5" s="101">
        <v>0.0</v>
      </c>
      <c r="X5" s="100"/>
      <c r="Y5" s="100" t="s">
        <v>201</v>
      </c>
      <c r="Z5" s="101">
        <v>11.0</v>
      </c>
    </row>
    <row r="6" ht="12.75" customHeight="1">
      <c r="A6" s="9" t="s">
        <v>26</v>
      </c>
      <c r="B6" s="10">
        <v>16.0</v>
      </c>
      <c r="C6" s="14" t="s">
        <v>9</v>
      </c>
      <c r="D6" s="1" t="s">
        <v>27</v>
      </c>
      <c r="E6" s="10">
        <v>0.0</v>
      </c>
      <c r="F6" s="14" t="s">
        <v>9</v>
      </c>
      <c r="G6" s="1" t="s">
        <v>28</v>
      </c>
      <c r="H6" s="10">
        <v>6.0</v>
      </c>
      <c r="I6" s="14" t="s">
        <v>9</v>
      </c>
      <c r="J6" s="5" t="s">
        <v>29</v>
      </c>
      <c r="K6" s="10">
        <v>16.0</v>
      </c>
      <c r="L6" s="14" t="s">
        <v>9</v>
      </c>
      <c r="M6" s="5" t="s">
        <v>30</v>
      </c>
      <c r="N6" s="10" t="s">
        <v>345</v>
      </c>
      <c r="O6" s="14"/>
      <c r="P6" s="9" t="s">
        <v>31</v>
      </c>
      <c r="Q6" s="10" t="s">
        <v>345</v>
      </c>
      <c r="R6" s="14"/>
      <c r="S6" s="12" t="s">
        <v>32</v>
      </c>
      <c r="T6" s="9"/>
      <c r="U6" s="9"/>
      <c r="V6" s="100" t="s">
        <v>208</v>
      </c>
      <c r="W6" s="101">
        <v>11.0</v>
      </c>
      <c r="X6" s="100"/>
      <c r="Y6" s="18" t="s">
        <v>207</v>
      </c>
      <c r="Z6" s="101">
        <v>2.0</v>
      </c>
    </row>
    <row r="7" ht="12.75" customHeight="1">
      <c r="A7" s="9"/>
      <c r="B7" s="10">
        <v>0.0</v>
      </c>
      <c r="C7" s="14" t="s">
        <v>9</v>
      </c>
      <c r="D7" s="5" t="s">
        <v>33</v>
      </c>
      <c r="E7" s="10">
        <v>11.0</v>
      </c>
      <c r="F7" s="14" t="s">
        <v>9</v>
      </c>
      <c r="G7" s="5" t="s">
        <v>34</v>
      </c>
      <c r="H7" s="10" t="s">
        <v>345</v>
      </c>
      <c r="I7" s="14"/>
      <c r="J7" s="12" t="s">
        <v>35</v>
      </c>
      <c r="K7" s="10" t="s">
        <v>345</v>
      </c>
      <c r="L7" s="14"/>
      <c r="M7" s="9" t="s">
        <v>36</v>
      </c>
      <c r="N7" s="10" t="s">
        <v>345</v>
      </c>
      <c r="O7" s="14"/>
      <c r="P7" s="9" t="s">
        <v>348</v>
      </c>
      <c r="Q7" s="10" t="s">
        <v>345</v>
      </c>
      <c r="R7" s="14"/>
      <c r="S7" s="12" t="s">
        <v>38</v>
      </c>
      <c r="T7" s="9"/>
      <c r="U7" s="9"/>
      <c r="V7" s="100" t="s">
        <v>226</v>
      </c>
      <c r="W7" s="101">
        <v>0.0</v>
      </c>
      <c r="X7" s="100"/>
      <c r="Y7" s="100" t="s">
        <v>225</v>
      </c>
      <c r="Z7" s="101">
        <v>0.0</v>
      </c>
    </row>
    <row r="8" ht="12.75" customHeight="1">
      <c r="A8" s="9"/>
      <c r="B8" s="10" t="s">
        <v>345</v>
      </c>
      <c r="C8" s="14"/>
      <c r="D8" s="12" t="s">
        <v>39</v>
      </c>
      <c r="E8" s="10" t="s">
        <v>345</v>
      </c>
      <c r="F8" s="14"/>
      <c r="G8" s="9" t="s">
        <v>351</v>
      </c>
      <c r="H8" s="10" t="s">
        <v>345</v>
      </c>
      <c r="I8" s="14"/>
      <c r="J8" s="9" t="s">
        <v>352</v>
      </c>
      <c r="K8" s="10">
        <v>6.0</v>
      </c>
      <c r="L8" s="14" t="s">
        <v>9</v>
      </c>
      <c r="M8" s="5" t="s">
        <v>42</v>
      </c>
      <c r="N8" s="10">
        <v>0.0</v>
      </c>
      <c r="O8" s="14" t="s">
        <v>9</v>
      </c>
      <c r="P8" s="15" t="s">
        <v>43</v>
      </c>
      <c r="Q8" s="10">
        <v>0.0</v>
      </c>
      <c r="R8" s="14" t="s">
        <v>9</v>
      </c>
      <c r="S8" s="5" t="s">
        <v>372</v>
      </c>
      <c r="T8" s="9"/>
      <c r="U8" s="9"/>
      <c r="V8" s="100" t="s">
        <v>238</v>
      </c>
      <c r="W8" s="101">
        <v>0.0</v>
      </c>
      <c r="X8" s="100"/>
      <c r="Y8" s="100" t="s">
        <v>237</v>
      </c>
      <c r="Z8" s="101">
        <v>3.0</v>
      </c>
    </row>
    <row r="9" ht="12.75" customHeight="1">
      <c r="A9" s="9"/>
      <c r="B9" s="10" t="s">
        <v>345</v>
      </c>
      <c r="C9" s="14"/>
      <c r="D9" s="12" t="s">
        <v>45</v>
      </c>
      <c r="E9" s="10" t="s">
        <v>345</v>
      </c>
      <c r="F9" s="14"/>
      <c r="G9" s="12" t="s">
        <v>46</v>
      </c>
      <c r="H9" s="10">
        <v>0.0</v>
      </c>
      <c r="I9" s="14" t="s">
        <v>9</v>
      </c>
      <c r="J9" s="5" t="s">
        <v>41</v>
      </c>
      <c r="K9" s="10" t="s">
        <v>345</v>
      </c>
      <c r="L9" s="14"/>
      <c r="M9" s="12" t="s">
        <v>48</v>
      </c>
      <c r="N9" s="10">
        <v>0.0</v>
      </c>
      <c r="O9" s="14" t="s">
        <v>9</v>
      </c>
      <c r="P9" s="15" t="s">
        <v>373</v>
      </c>
      <c r="Q9" s="10">
        <v>0.0</v>
      </c>
      <c r="R9" s="14" t="s">
        <v>9</v>
      </c>
      <c r="S9" s="5" t="s">
        <v>50</v>
      </c>
      <c r="T9" s="9"/>
      <c r="U9" s="9"/>
      <c r="V9" s="100" t="s">
        <v>250</v>
      </c>
      <c r="W9" s="101">
        <v>12.0</v>
      </c>
      <c r="X9" s="100"/>
      <c r="Y9" s="100" t="s">
        <v>249</v>
      </c>
      <c r="Z9" s="101">
        <v>0.0</v>
      </c>
    </row>
    <row r="10" ht="12.75" customHeight="1">
      <c r="A10" s="9"/>
      <c r="B10" s="10"/>
      <c r="C10" s="3"/>
      <c r="D10" s="9"/>
      <c r="E10" s="10"/>
      <c r="F10" s="3"/>
      <c r="G10" s="9"/>
      <c r="H10" s="10" t="s">
        <v>345</v>
      </c>
      <c r="I10" s="3"/>
      <c r="J10" s="9"/>
      <c r="K10" s="10"/>
      <c r="L10" s="3"/>
      <c r="M10" s="9"/>
      <c r="N10" s="10"/>
      <c r="O10" s="3"/>
      <c r="P10" s="9"/>
      <c r="Q10" s="10"/>
      <c r="R10" s="3"/>
      <c r="S10" s="9"/>
      <c r="T10" s="9"/>
      <c r="U10" s="9"/>
      <c r="V10" s="100" t="s">
        <v>262</v>
      </c>
      <c r="W10" s="101">
        <v>0.0</v>
      </c>
      <c r="X10" s="100"/>
      <c r="Y10" s="100" t="s">
        <v>261</v>
      </c>
      <c r="Z10" s="101">
        <v>0.0</v>
      </c>
    </row>
    <row r="11" ht="12.75" customHeight="1">
      <c r="A11" s="9" t="s">
        <v>51</v>
      </c>
      <c r="B11" s="10" t="s">
        <v>345</v>
      </c>
      <c r="C11" s="14"/>
      <c r="D11" s="9" t="s">
        <v>52</v>
      </c>
      <c r="E11" s="10">
        <v>8.0</v>
      </c>
      <c r="F11" s="14" t="s">
        <v>9</v>
      </c>
      <c r="G11" s="1" t="s">
        <v>53</v>
      </c>
      <c r="H11" s="10">
        <v>8.0</v>
      </c>
      <c r="I11" s="14" t="s">
        <v>9</v>
      </c>
      <c r="J11" s="1" t="s">
        <v>54</v>
      </c>
      <c r="K11" s="10" t="s">
        <v>345</v>
      </c>
      <c r="L11" s="14"/>
      <c r="M11" s="12" t="s">
        <v>55</v>
      </c>
      <c r="N11" s="10">
        <v>0.0</v>
      </c>
      <c r="O11" s="14" t="s">
        <v>9</v>
      </c>
      <c r="P11" s="1" t="s">
        <v>56</v>
      </c>
      <c r="Q11" s="10">
        <v>11.0</v>
      </c>
      <c r="R11" s="14" t="s">
        <v>9</v>
      </c>
      <c r="S11" s="5" t="s">
        <v>57</v>
      </c>
      <c r="T11" s="9"/>
      <c r="U11" s="9"/>
      <c r="V11" s="100"/>
      <c r="W11" s="101">
        <v>58.0</v>
      </c>
      <c r="X11" s="100"/>
      <c r="Y11" s="100"/>
      <c r="Z11" s="101">
        <v>46.0</v>
      </c>
    </row>
    <row r="12" ht="12.75" customHeight="1">
      <c r="A12" s="9"/>
      <c r="B12" s="10">
        <v>0.0</v>
      </c>
      <c r="C12" s="14" t="s">
        <v>9</v>
      </c>
      <c r="D12" s="1" t="s">
        <v>58</v>
      </c>
      <c r="E12" s="10" t="s">
        <v>345</v>
      </c>
      <c r="F12" s="14"/>
      <c r="G12" s="9" t="s">
        <v>59</v>
      </c>
      <c r="H12" s="10" t="s">
        <v>345</v>
      </c>
      <c r="I12" s="14"/>
      <c r="J12" s="12" t="s">
        <v>60</v>
      </c>
      <c r="K12" s="10" t="s">
        <v>345</v>
      </c>
      <c r="L12" s="14"/>
      <c r="M12" s="9" t="s">
        <v>61</v>
      </c>
      <c r="N12" s="10">
        <v>0.0</v>
      </c>
      <c r="O12" s="14" t="s">
        <v>9</v>
      </c>
      <c r="P12" s="1" t="s">
        <v>62</v>
      </c>
      <c r="Q12" s="10" t="s">
        <v>345</v>
      </c>
      <c r="R12" s="14"/>
      <c r="S12" s="9" t="s">
        <v>63</v>
      </c>
      <c r="T12" s="9"/>
      <c r="U12" s="9"/>
      <c r="V12" s="100"/>
      <c r="W12" s="101"/>
      <c r="X12" s="100"/>
      <c r="Y12" s="100"/>
      <c r="Z12" s="101"/>
    </row>
    <row r="13" ht="12.75" customHeight="1">
      <c r="A13" s="9"/>
      <c r="B13" s="10">
        <v>0.0</v>
      </c>
      <c r="C13" s="14" t="s">
        <v>9</v>
      </c>
      <c r="D13" s="5" t="s">
        <v>64</v>
      </c>
      <c r="E13" s="10" t="s">
        <v>345</v>
      </c>
      <c r="F13" s="14"/>
      <c r="G13" s="12" t="s">
        <v>354</v>
      </c>
      <c r="H13" s="10">
        <v>0.0</v>
      </c>
      <c r="I13" s="14" t="s">
        <v>9</v>
      </c>
      <c r="J13" s="5" t="s">
        <v>66</v>
      </c>
      <c r="K13" s="10">
        <v>0.0</v>
      </c>
      <c r="L13" s="14" t="s">
        <v>9</v>
      </c>
      <c r="M13" s="1" t="s">
        <v>67</v>
      </c>
      <c r="N13" s="10" t="s">
        <v>345</v>
      </c>
      <c r="O13" s="14"/>
      <c r="P13" s="9" t="s">
        <v>355</v>
      </c>
      <c r="Q13" s="10" t="s">
        <v>345</v>
      </c>
      <c r="R13" s="14"/>
      <c r="S13" s="17" t="s">
        <v>69</v>
      </c>
      <c r="T13" s="9"/>
      <c r="U13" s="9"/>
      <c r="V13" s="98" t="s">
        <v>322</v>
      </c>
      <c r="W13" s="99"/>
      <c r="X13" s="98"/>
      <c r="Y13" s="98" t="s">
        <v>325</v>
      </c>
      <c r="Z13" s="99"/>
    </row>
    <row r="14" ht="12.75" customHeight="1">
      <c r="A14" s="9"/>
      <c r="B14" s="10" t="s">
        <v>345</v>
      </c>
      <c r="C14" s="14"/>
      <c r="D14" s="12" t="s">
        <v>356</v>
      </c>
      <c r="E14" s="10">
        <v>12.0</v>
      </c>
      <c r="F14" s="14" t="s">
        <v>9</v>
      </c>
      <c r="G14" s="5" t="s">
        <v>71</v>
      </c>
      <c r="H14" s="10" t="s">
        <v>345</v>
      </c>
      <c r="I14" s="14"/>
      <c r="J14" s="12" t="s">
        <v>72</v>
      </c>
      <c r="K14" s="10">
        <v>0.0</v>
      </c>
      <c r="L14" s="14" t="s">
        <v>9</v>
      </c>
      <c r="M14" s="5" t="s">
        <v>73</v>
      </c>
      <c r="N14" s="10" t="s">
        <v>345</v>
      </c>
      <c r="O14" s="14"/>
      <c r="P14" s="12" t="s">
        <v>350</v>
      </c>
      <c r="Q14" s="10">
        <v>0.0</v>
      </c>
      <c r="R14" s="14" t="s">
        <v>9</v>
      </c>
      <c r="S14" s="5" t="s">
        <v>75</v>
      </c>
      <c r="T14" s="9"/>
      <c r="U14" s="9"/>
      <c r="V14" s="100" t="s">
        <v>12</v>
      </c>
      <c r="W14" s="101">
        <v>10.0</v>
      </c>
      <c r="X14" s="100"/>
      <c r="Y14" s="100" t="s">
        <v>152</v>
      </c>
      <c r="Z14" s="101">
        <v>15.0</v>
      </c>
    </row>
    <row r="15" ht="12.75" customHeight="1">
      <c r="A15" s="9"/>
      <c r="B15" s="10"/>
      <c r="C15" s="3"/>
      <c r="D15" s="9"/>
      <c r="E15" s="10"/>
      <c r="F15" s="3"/>
      <c r="G15" s="9"/>
      <c r="H15" s="10" t="s">
        <v>345</v>
      </c>
      <c r="I15" s="3"/>
      <c r="J15" s="9"/>
      <c r="K15" s="10"/>
      <c r="L15" s="3"/>
      <c r="M15" s="9"/>
      <c r="N15" s="10"/>
      <c r="O15" s="3"/>
      <c r="P15" s="9"/>
      <c r="Q15" s="10"/>
      <c r="R15" s="3"/>
      <c r="S15" s="9"/>
      <c r="T15" s="9"/>
      <c r="U15" s="9"/>
      <c r="V15" s="100" t="s">
        <v>43</v>
      </c>
      <c r="W15" s="101">
        <v>0.0</v>
      </c>
      <c r="X15" s="100"/>
      <c r="Y15" s="100" t="s">
        <v>170</v>
      </c>
      <c r="Z15" s="101">
        <v>8.0</v>
      </c>
    </row>
    <row r="16" ht="12.75" customHeight="1">
      <c r="A16" s="9" t="s">
        <v>76</v>
      </c>
      <c r="B16" s="10">
        <v>0.0</v>
      </c>
      <c r="C16" s="14" t="s">
        <v>9</v>
      </c>
      <c r="D16" s="1" t="s">
        <v>357</v>
      </c>
      <c r="E16" s="10">
        <v>8.0</v>
      </c>
      <c r="F16" s="14" t="s">
        <v>9</v>
      </c>
      <c r="G16" s="5" t="s">
        <v>78</v>
      </c>
      <c r="H16" s="10" t="s">
        <v>345</v>
      </c>
      <c r="I16" s="14"/>
      <c r="J16" s="9" t="s">
        <v>79</v>
      </c>
      <c r="K16" s="10" t="s">
        <v>345</v>
      </c>
      <c r="L16" s="14"/>
      <c r="M16" s="9" t="s">
        <v>86</v>
      </c>
      <c r="N16" s="10" t="s">
        <v>345</v>
      </c>
      <c r="O16" s="14"/>
      <c r="P16" s="12" t="s">
        <v>81</v>
      </c>
      <c r="Q16" s="10" t="s">
        <v>345</v>
      </c>
      <c r="R16" s="14"/>
      <c r="S16" s="9" t="s">
        <v>80</v>
      </c>
      <c r="T16" s="9"/>
      <c r="U16" s="9"/>
      <c r="V16" s="100" t="s">
        <v>373</v>
      </c>
      <c r="W16" s="101">
        <v>0.0</v>
      </c>
      <c r="X16" s="100"/>
      <c r="Y16" s="100" t="s">
        <v>176</v>
      </c>
      <c r="Z16" s="101">
        <v>0.0</v>
      </c>
    </row>
    <row r="17" ht="12.75" customHeight="1">
      <c r="A17" s="9"/>
      <c r="B17" s="10" t="s">
        <v>345</v>
      </c>
      <c r="C17" s="14"/>
      <c r="D17" s="12" t="s">
        <v>77</v>
      </c>
      <c r="E17" s="10" t="s">
        <v>345</v>
      </c>
      <c r="F17" s="14"/>
      <c r="G17" s="9" t="s">
        <v>358</v>
      </c>
      <c r="H17" s="10" t="s">
        <v>345</v>
      </c>
      <c r="I17" s="14"/>
      <c r="J17" s="9" t="s">
        <v>85</v>
      </c>
      <c r="K17" s="10" t="s">
        <v>345</v>
      </c>
      <c r="L17" s="14"/>
      <c r="M17" s="12" t="s">
        <v>88</v>
      </c>
      <c r="N17" s="10">
        <v>0.0</v>
      </c>
      <c r="O17" s="14" t="s">
        <v>9</v>
      </c>
      <c r="P17" s="1" t="s">
        <v>90</v>
      </c>
      <c r="Q17" s="10">
        <v>6.0</v>
      </c>
      <c r="R17" s="14" t="s">
        <v>9</v>
      </c>
      <c r="S17" s="5" t="s">
        <v>82</v>
      </c>
      <c r="T17" s="9"/>
      <c r="U17" s="9"/>
      <c r="V17" s="100" t="s">
        <v>56</v>
      </c>
      <c r="W17" s="101">
        <v>0.0</v>
      </c>
      <c r="X17" s="100"/>
      <c r="Y17" s="100" t="s">
        <v>200</v>
      </c>
      <c r="Z17" s="101">
        <v>2.0</v>
      </c>
    </row>
    <row r="18" ht="12.75" customHeight="1">
      <c r="A18" s="9"/>
      <c r="B18" s="10" t="s">
        <v>345</v>
      </c>
      <c r="C18" s="14"/>
      <c r="D18" s="12" t="s">
        <v>93</v>
      </c>
      <c r="E18" s="10" t="s">
        <v>345</v>
      </c>
      <c r="F18" s="14"/>
      <c r="G18" s="12" t="s">
        <v>359</v>
      </c>
      <c r="H18" s="10">
        <v>8.0</v>
      </c>
      <c r="I18" s="14" t="s">
        <v>9</v>
      </c>
      <c r="J18" s="5" t="s">
        <v>91</v>
      </c>
      <c r="K18" s="10">
        <v>0.0</v>
      </c>
      <c r="L18" s="14" t="s">
        <v>9</v>
      </c>
      <c r="M18" s="1" t="s">
        <v>92</v>
      </c>
      <c r="N18" s="10" t="s">
        <v>345</v>
      </c>
      <c r="O18" s="14"/>
      <c r="P18" s="12" t="s">
        <v>87</v>
      </c>
      <c r="Q18" s="10" t="s">
        <v>345</v>
      </c>
      <c r="R18" s="14"/>
      <c r="S18" s="12" t="s">
        <v>94</v>
      </c>
      <c r="T18" s="9"/>
      <c r="U18" s="9"/>
      <c r="V18" s="100" t="s">
        <v>62</v>
      </c>
      <c r="W18" s="101">
        <v>0.0</v>
      </c>
      <c r="X18" s="100"/>
      <c r="Y18" s="100" t="s">
        <v>206</v>
      </c>
      <c r="Z18" s="101">
        <v>0.0</v>
      </c>
    </row>
    <row r="19" ht="12.75" customHeight="1">
      <c r="A19" s="9"/>
      <c r="B19" s="10"/>
      <c r="C19" s="3"/>
      <c r="D19" s="9"/>
      <c r="E19" s="10"/>
      <c r="F19" s="3"/>
      <c r="G19" s="9"/>
      <c r="H19" s="10" t="s">
        <v>345</v>
      </c>
      <c r="I19" s="3"/>
      <c r="J19" s="9" t="s">
        <v>95</v>
      </c>
      <c r="K19" s="10"/>
      <c r="L19" s="3"/>
      <c r="M19" s="9"/>
      <c r="N19" s="10"/>
      <c r="O19" s="3"/>
      <c r="P19" s="9"/>
      <c r="Q19" s="10"/>
      <c r="R19" s="3"/>
      <c r="S19" s="9"/>
      <c r="T19" s="9"/>
      <c r="U19" s="9"/>
      <c r="V19" s="100" t="s">
        <v>90</v>
      </c>
      <c r="W19" s="101">
        <v>0.0</v>
      </c>
      <c r="X19" s="100"/>
      <c r="Y19" s="100" t="s">
        <v>218</v>
      </c>
      <c r="Z19" s="101">
        <v>8.0</v>
      </c>
    </row>
    <row r="20" ht="12.75" customHeight="1">
      <c r="A20" s="9" t="s">
        <v>96</v>
      </c>
      <c r="B20" s="10">
        <v>5.0</v>
      </c>
      <c r="C20" s="14" t="s">
        <v>9</v>
      </c>
      <c r="D20" s="5" t="s">
        <v>97</v>
      </c>
      <c r="E20" s="10">
        <v>5.0</v>
      </c>
      <c r="F20" s="14" t="s">
        <v>9</v>
      </c>
      <c r="G20" s="5" t="s">
        <v>98</v>
      </c>
      <c r="H20" s="10">
        <v>11.0</v>
      </c>
      <c r="I20" s="14" t="s">
        <v>9</v>
      </c>
      <c r="J20" s="1" t="s">
        <v>99</v>
      </c>
      <c r="K20" s="10">
        <v>10.0</v>
      </c>
      <c r="L20" s="14" t="s">
        <v>9</v>
      </c>
      <c r="M20" s="5" t="s">
        <v>100</v>
      </c>
      <c r="N20" s="10" t="s">
        <v>345</v>
      </c>
      <c r="O20" s="14"/>
      <c r="P20" s="9" t="s">
        <v>360</v>
      </c>
      <c r="Q20" s="10" t="s">
        <v>345</v>
      </c>
      <c r="R20" s="14"/>
      <c r="S20" s="12" t="s">
        <v>361</v>
      </c>
      <c r="T20" s="9"/>
      <c r="U20" s="9"/>
      <c r="V20" s="100" t="s">
        <v>101</v>
      </c>
      <c r="W20" s="101">
        <v>2.0</v>
      </c>
      <c r="X20" s="100"/>
      <c r="Y20" s="100" t="s">
        <v>242</v>
      </c>
      <c r="Z20" s="101">
        <v>7.0</v>
      </c>
    </row>
    <row r="21" ht="12.75" customHeight="1">
      <c r="A21" s="9"/>
      <c r="B21" s="10" t="s">
        <v>345</v>
      </c>
      <c r="C21" s="14"/>
      <c r="D21" s="9" t="s">
        <v>103</v>
      </c>
      <c r="E21" s="10" t="s">
        <v>345</v>
      </c>
      <c r="F21" s="14"/>
      <c r="G21" s="12" t="s">
        <v>104</v>
      </c>
      <c r="H21" s="10" t="s">
        <v>345</v>
      </c>
      <c r="I21" s="14"/>
      <c r="J21" s="9" t="s">
        <v>105</v>
      </c>
      <c r="K21" s="10" t="s">
        <v>345</v>
      </c>
      <c r="L21" s="14"/>
      <c r="M21" s="9" t="s">
        <v>106</v>
      </c>
      <c r="N21" s="10">
        <v>2.0</v>
      </c>
      <c r="O21" s="14" t="s">
        <v>9</v>
      </c>
      <c r="P21" s="1" t="s">
        <v>101</v>
      </c>
      <c r="Q21" s="10">
        <v>0.0</v>
      </c>
      <c r="R21" s="14" t="s">
        <v>9</v>
      </c>
      <c r="S21" s="1" t="s">
        <v>102</v>
      </c>
      <c r="T21" s="9"/>
      <c r="U21" s="9"/>
      <c r="V21" s="100" t="s">
        <v>120</v>
      </c>
      <c r="W21" s="101">
        <v>4.0</v>
      </c>
      <c r="X21" s="100"/>
      <c r="Y21" s="100" t="s">
        <v>248</v>
      </c>
      <c r="Z21" s="101">
        <v>1.0</v>
      </c>
    </row>
    <row r="22" ht="12.75" customHeight="1">
      <c r="A22" s="9"/>
      <c r="B22" s="10"/>
      <c r="C22" s="3"/>
      <c r="D22" s="9"/>
      <c r="E22" s="10"/>
      <c r="F22" s="3"/>
      <c r="G22" s="9"/>
      <c r="H22" s="10" t="s">
        <v>345</v>
      </c>
      <c r="I22" s="3"/>
      <c r="J22" s="9"/>
      <c r="K22" s="10"/>
      <c r="L22" s="3"/>
      <c r="M22" s="9"/>
      <c r="N22" s="10"/>
      <c r="O22" s="3"/>
      <c r="P22" s="9"/>
      <c r="Q22" s="10"/>
      <c r="R22" s="3"/>
      <c r="S22" s="9"/>
      <c r="T22" s="9"/>
      <c r="U22" s="9"/>
      <c r="V22" s="100" t="s">
        <v>127</v>
      </c>
      <c r="W22" s="101">
        <v>5.0</v>
      </c>
      <c r="X22" s="100"/>
      <c r="Y22" s="100" t="s">
        <v>260</v>
      </c>
      <c r="Z22" s="101">
        <v>4.0</v>
      </c>
    </row>
    <row r="23" ht="12.75" customHeight="1">
      <c r="A23" s="9" t="s">
        <v>109</v>
      </c>
      <c r="B23" s="10" t="s">
        <v>345</v>
      </c>
      <c r="C23" s="14"/>
      <c r="D23" s="9" t="s">
        <v>110</v>
      </c>
      <c r="E23" s="10" t="s">
        <v>345</v>
      </c>
      <c r="F23" s="14"/>
      <c r="G23" s="12" t="s">
        <v>111</v>
      </c>
      <c r="H23" s="10">
        <v>0.0</v>
      </c>
      <c r="I23" s="14" t="s">
        <v>9</v>
      </c>
      <c r="J23" s="1" t="s">
        <v>112</v>
      </c>
      <c r="K23" s="10">
        <v>16.0</v>
      </c>
      <c r="L23" s="14" t="s">
        <v>9</v>
      </c>
      <c r="M23" s="1" t="s">
        <v>113</v>
      </c>
      <c r="N23" s="10" t="s">
        <v>345</v>
      </c>
      <c r="O23" s="14"/>
      <c r="P23" s="9" t="s">
        <v>114</v>
      </c>
      <c r="Q23" s="10">
        <v>10.0</v>
      </c>
      <c r="R23" s="14" t="s">
        <v>9</v>
      </c>
      <c r="S23" s="5" t="s">
        <v>115</v>
      </c>
      <c r="T23" s="9"/>
      <c r="U23" s="9"/>
      <c r="V23" s="100"/>
      <c r="W23" s="101">
        <v>21.0</v>
      </c>
      <c r="X23" s="100"/>
      <c r="Y23" s="100"/>
      <c r="Z23" s="101">
        <v>45.0</v>
      </c>
    </row>
    <row r="24" ht="12.75" customHeight="1">
      <c r="A24" s="9"/>
      <c r="B24" s="10">
        <v>13.0</v>
      </c>
      <c r="C24" s="14" t="s">
        <v>9</v>
      </c>
      <c r="D24" s="1" t="s">
        <v>116</v>
      </c>
      <c r="E24" s="10">
        <v>1.0</v>
      </c>
      <c r="F24" s="14" t="s">
        <v>9</v>
      </c>
      <c r="G24" s="5" t="s">
        <v>117</v>
      </c>
      <c r="H24" s="10" t="s">
        <v>345</v>
      </c>
      <c r="I24" s="14"/>
      <c r="J24" s="9" t="s">
        <v>118</v>
      </c>
      <c r="K24" s="10" t="s">
        <v>345</v>
      </c>
      <c r="L24" s="14"/>
      <c r="M24" s="12" t="s">
        <v>121</v>
      </c>
      <c r="N24" s="10">
        <v>4.0</v>
      </c>
      <c r="O24" s="14" t="s">
        <v>9</v>
      </c>
      <c r="P24" s="1" t="s">
        <v>120</v>
      </c>
      <c r="Q24" s="10" t="s">
        <v>345</v>
      </c>
      <c r="R24" s="14"/>
      <c r="S24" s="12" t="s">
        <v>362</v>
      </c>
      <c r="T24" s="9"/>
      <c r="U24" s="9"/>
      <c r="V24" s="100"/>
      <c r="W24" s="101"/>
      <c r="X24" s="100"/>
      <c r="Y24" s="100"/>
      <c r="Z24" s="101"/>
    </row>
    <row r="25" ht="12.75" customHeight="1">
      <c r="A25" s="9"/>
      <c r="B25" s="10"/>
      <c r="C25" s="3"/>
      <c r="D25" s="9"/>
      <c r="E25" s="10"/>
      <c r="F25" s="3"/>
      <c r="G25" s="9"/>
      <c r="H25" s="10" t="s">
        <v>345</v>
      </c>
      <c r="I25" s="3"/>
      <c r="J25" s="9"/>
      <c r="K25" s="10"/>
      <c r="L25" s="3"/>
      <c r="M25" s="9"/>
      <c r="N25" s="10"/>
      <c r="O25" s="3"/>
      <c r="P25" s="9"/>
      <c r="Q25" s="10"/>
      <c r="R25" s="3"/>
      <c r="S25" s="9"/>
      <c r="T25" s="9"/>
      <c r="U25" s="9"/>
      <c r="V25" s="98" t="s">
        <v>319</v>
      </c>
      <c r="W25" s="99"/>
      <c r="X25" s="98"/>
      <c r="Y25" s="98" t="s">
        <v>328</v>
      </c>
      <c r="Z25" s="99"/>
    </row>
    <row r="26" ht="12.75" customHeight="1">
      <c r="A26" s="9" t="s">
        <v>122</v>
      </c>
      <c r="B26" s="10">
        <v>5.0</v>
      </c>
      <c r="C26" s="14" t="s">
        <v>9</v>
      </c>
      <c r="D26" s="5" t="s">
        <v>123</v>
      </c>
      <c r="E26" s="10">
        <v>0.0</v>
      </c>
      <c r="F26" s="14" t="s">
        <v>9</v>
      </c>
      <c r="G26" s="5" t="s">
        <v>124</v>
      </c>
      <c r="H26" s="10" t="s">
        <v>345</v>
      </c>
      <c r="I26" s="14"/>
      <c r="J26" s="9" t="s">
        <v>125</v>
      </c>
      <c r="K26" s="10">
        <v>0.0</v>
      </c>
      <c r="L26" s="14" t="s">
        <v>9</v>
      </c>
      <c r="M26" s="1" t="s">
        <v>126</v>
      </c>
      <c r="N26" s="10">
        <v>5.0</v>
      </c>
      <c r="O26" s="14" t="s">
        <v>9</v>
      </c>
      <c r="P26" s="1" t="s">
        <v>127</v>
      </c>
      <c r="Q26" s="10">
        <v>4.0</v>
      </c>
      <c r="R26" s="14" t="s">
        <v>9</v>
      </c>
      <c r="S26" s="5" t="s">
        <v>128</v>
      </c>
      <c r="T26" s="9"/>
      <c r="U26" s="9"/>
      <c r="V26" s="100" t="s">
        <v>8</v>
      </c>
      <c r="W26" s="101">
        <v>18.0</v>
      </c>
      <c r="X26" s="100"/>
      <c r="Y26" s="100" t="s">
        <v>155</v>
      </c>
      <c r="Z26" s="101">
        <v>27.0</v>
      </c>
    </row>
    <row r="27" ht="12.75" customHeight="1">
      <c r="A27" s="9"/>
      <c r="B27" s="10" t="s">
        <v>345</v>
      </c>
      <c r="C27" s="14"/>
      <c r="D27" s="9" t="s">
        <v>129</v>
      </c>
      <c r="E27" s="10" t="s">
        <v>345</v>
      </c>
      <c r="F27" s="14"/>
      <c r="G27" s="9" t="s">
        <v>130</v>
      </c>
      <c r="H27" s="10">
        <v>4.0</v>
      </c>
      <c r="I27" s="14" t="s">
        <v>9</v>
      </c>
      <c r="J27" s="5" t="s">
        <v>131</v>
      </c>
      <c r="K27" s="10" t="s">
        <v>345</v>
      </c>
      <c r="L27" s="14"/>
      <c r="M27" s="9" t="s">
        <v>132</v>
      </c>
      <c r="N27" s="10" t="s">
        <v>345</v>
      </c>
      <c r="O27" s="14"/>
      <c r="P27" s="12" t="s">
        <v>133</v>
      </c>
      <c r="Q27" s="10" t="s">
        <v>345</v>
      </c>
      <c r="R27" s="14"/>
      <c r="S27" s="9" t="s">
        <v>134</v>
      </c>
      <c r="T27" s="9"/>
      <c r="U27" s="9"/>
      <c r="V27" s="100" t="s">
        <v>28</v>
      </c>
      <c r="W27" s="101">
        <v>0.0</v>
      </c>
      <c r="X27" s="100"/>
      <c r="Y27" s="18" t="s">
        <v>185</v>
      </c>
      <c r="Z27" s="101">
        <v>0.0</v>
      </c>
    </row>
    <row r="28" ht="12.75" customHeight="1">
      <c r="A28" s="9"/>
      <c r="B28" s="2"/>
      <c r="C28" s="3"/>
      <c r="D28" s="9"/>
      <c r="E28" s="10"/>
      <c r="F28" s="3"/>
      <c r="G28" s="9"/>
      <c r="H28" s="10"/>
      <c r="I28" s="3"/>
      <c r="J28" s="9"/>
      <c r="K28" s="10"/>
      <c r="L28" s="3"/>
      <c r="M28" s="9"/>
      <c r="N28" s="10"/>
      <c r="O28" s="3"/>
      <c r="P28" s="12" t="s">
        <v>95</v>
      </c>
      <c r="Q28" s="10"/>
      <c r="R28" s="3"/>
      <c r="S28" s="9"/>
      <c r="T28" s="9"/>
      <c r="U28" s="9"/>
      <c r="V28" s="100" t="s">
        <v>34</v>
      </c>
      <c r="W28" s="101">
        <v>11.0</v>
      </c>
      <c r="X28" s="100"/>
      <c r="Y28" s="100" t="s">
        <v>191</v>
      </c>
      <c r="Z28" s="101">
        <v>20.0</v>
      </c>
    </row>
    <row r="29" ht="12.75" customHeight="1">
      <c r="A29" s="19"/>
      <c r="B29" s="20"/>
      <c r="C29" s="21"/>
      <c r="D29" s="22">
        <v>47.0</v>
      </c>
      <c r="E29" s="20"/>
      <c r="F29" s="21"/>
      <c r="G29" s="22">
        <v>63.0</v>
      </c>
      <c r="H29" s="20"/>
      <c r="I29" s="21"/>
      <c r="J29" s="22">
        <v>58.0</v>
      </c>
      <c r="K29" s="20"/>
      <c r="L29" s="21"/>
      <c r="M29" s="22">
        <v>62.0</v>
      </c>
      <c r="N29" s="20"/>
      <c r="O29" s="21"/>
      <c r="P29" s="22">
        <v>21.0</v>
      </c>
      <c r="Q29" s="20"/>
      <c r="R29" s="21"/>
      <c r="S29" s="22">
        <v>46.0</v>
      </c>
      <c r="T29" s="19"/>
      <c r="U29" s="19"/>
      <c r="V29" s="100" t="s">
        <v>53</v>
      </c>
      <c r="W29" s="101">
        <v>8.0</v>
      </c>
      <c r="X29" s="100"/>
      <c r="Y29" s="100" t="s">
        <v>209</v>
      </c>
      <c r="Z29" s="101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6"/>
      <c r="S30" s="9"/>
      <c r="T30" s="9"/>
      <c r="U30" s="9"/>
      <c r="V30" s="100" t="s">
        <v>71</v>
      </c>
      <c r="W30" s="101">
        <v>12.0</v>
      </c>
      <c r="X30" s="100"/>
      <c r="Y30" s="100" t="s">
        <v>215</v>
      </c>
      <c r="Z30" s="101">
        <v>0.0</v>
      </c>
    </row>
    <row r="31" ht="12.75" customHeight="1">
      <c r="A31" s="9" t="s">
        <v>135</v>
      </c>
      <c r="B31" s="2"/>
      <c r="C31" s="3"/>
      <c r="D31" s="9" t="s">
        <v>136</v>
      </c>
      <c r="E31" s="2"/>
      <c r="F31" s="6"/>
      <c r="G31" s="9" t="s">
        <v>137</v>
      </c>
      <c r="H31" s="2"/>
      <c r="I31" s="6"/>
      <c r="J31" s="9" t="s">
        <v>138</v>
      </c>
      <c r="K31" s="2"/>
      <c r="L31" s="6"/>
      <c r="M31" s="9" t="s">
        <v>139</v>
      </c>
      <c r="N31" s="2"/>
      <c r="O31" s="6"/>
      <c r="P31" s="9" t="s">
        <v>140</v>
      </c>
      <c r="Q31" s="2"/>
      <c r="R31" s="6"/>
      <c r="S31" s="9" t="s">
        <v>141</v>
      </c>
      <c r="T31" s="9"/>
      <c r="U31" s="9"/>
      <c r="V31" s="100" t="s">
        <v>78</v>
      </c>
      <c r="W31" s="101">
        <v>8.0</v>
      </c>
      <c r="X31" s="100"/>
      <c r="Y31" s="100" t="s">
        <v>221</v>
      </c>
      <c r="Z31" s="101">
        <v>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142</v>
      </c>
      <c r="Q32" s="2"/>
      <c r="R32" s="6"/>
      <c r="S32" s="9"/>
      <c r="T32" s="9"/>
      <c r="U32" s="9"/>
      <c r="V32" s="100" t="s">
        <v>98</v>
      </c>
      <c r="W32" s="101">
        <v>5.0</v>
      </c>
      <c r="X32" s="100"/>
      <c r="Y32" s="100" t="s">
        <v>245</v>
      </c>
      <c r="Z32" s="101">
        <v>2.0</v>
      </c>
    </row>
    <row r="33" ht="12.75" customHeight="1">
      <c r="A33" s="9"/>
      <c r="B33" s="2"/>
      <c r="C33" s="3"/>
      <c r="D33" s="25"/>
      <c r="E33" s="26"/>
      <c r="F33" s="26"/>
      <c r="G33" s="25"/>
      <c r="H33" s="26"/>
      <c r="I33" s="26"/>
      <c r="J33" s="25"/>
      <c r="K33" s="25"/>
      <c r="L33" s="26"/>
      <c r="M33" s="25"/>
      <c r="P33" s="25"/>
      <c r="R33" s="3"/>
      <c r="S33" s="25"/>
      <c r="T33" s="6"/>
      <c r="U33" s="26"/>
      <c r="V33" s="103" t="s">
        <v>117</v>
      </c>
      <c r="W33" s="101">
        <v>1.0</v>
      </c>
      <c r="X33" s="100"/>
      <c r="Y33" s="100" t="s">
        <v>257</v>
      </c>
      <c r="Z33" s="101">
        <v>0.0</v>
      </c>
    </row>
    <row r="34" ht="12.75" customHeight="1">
      <c r="A34" s="9" t="s">
        <v>143</v>
      </c>
      <c r="B34" s="9"/>
      <c r="C34" s="3"/>
      <c r="D34" s="25"/>
      <c r="E34" s="26"/>
      <c r="F34" s="26"/>
      <c r="G34" s="25"/>
      <c r="H34" s="26"/>
      <c r="I34" s="26"/>
      <c r="J34" s="25"/>
      <c r="K34" s="25"/>
      <c r="L34" s="26"/>
      <c r="M34" s="25"/>
      <c r="P34" s="25"/>
      <c r="R34" s="3"/>
      <c r="S34" s="25"/>
      <c r="T34" s="6"/>
      <c r="U34" s="26"/>
      <c r="V34" s="103" t="s">
        <v>124</v>
      </c>
      <c r="W34" s="101">
        <v>0.0</v>
      </c>
      <c r="X34" s="100"/>
      <c r="Y34" s="100" t="s">
        <v>263</v>
      </c>
      <c r="Z34" s="101">
        <v>0.0</v>
      </c>
    </row>
    <row r="35" ht="12.75" customHeight="1">
      <c r="A35" s="9"/>
      <c r="B35" s="9"/>
      <c r="C35" s="3"/>
      <c r="D35" s="12"/>
      <c r="E35" s="26"/>
      <c r="F35" s="26"/>
      <c r="G35" s="12"/>
      <c r="H35" s="26"/>
      <c r="I35" s="26"/>
      <c r="J35" s="25"/>
      <c r="K35" s="25"/>
      <c r="L35" s="26"/>
      <c r="M35" s="25"/>
      <c r="P35" s="25"/>
      <c r="R35" s="3"/>
      <c r="S35" s="25"/>
      <c r="T35" s="6"/>
      <c r="U35" s="9"/>
      <c r="V35" s="103"/>
      <c r="W35" s="101">
        <v>63.0</v>
      </c>
      <c r="X35" s="100"/>
      <c r="Y35" s="100"/>
      <c r="Z35" s="101">
        <v>49.0</v>
      </c>
    </row>
    <row r="36" ht="12.75" customHeight="1">
      <c r="A36" s="9"/>
      <c r="B36" s="2"/>
      <c r="C36" s="3"/>
      <c r="D36" s="12"/>
      <c r="E36" s="2"/>
      <c r="F36" s="6"/>
      <c r="G36" s="12"/>
      <c r="H36" s="2"/>
      <c r="I36" s="6"/>
      <c r="J36" s="25"/>
      <c r="K36" s="9"/>
      <c r="L36" s="6"/>
      <c r="M36" s="25"/>
      <c r="N36" s="26"/>
      <c r="O36" s="26"/>
      <c r="P36" s="25"/>
      <c r="Q36" s="26"/>
      <c r="R36" s="3"/>
      <c r="S36" s="25"/>
      <c r="T36" s="6"/>
      <c r="U36" s="6"/>
      <c r="V36" s="100"/>
      <c r="W36" s="101"/>
      <c r="X36" s="100"/>
      <c r="Y36" s="100"/>
      <c r="Z36" s="101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6"/>
      <c r="S37" s="9"/>
      <c r="T37" s="9"/>
      <c r="U37" s="9"/>
      <c r="V37" s="98" t="s">
        <v>302</v>
      </c>
      <c r="W37" s="99"/>
      <c r="X37" s="98"/>
      <c r="Y37" s="98" t="s">
        <v>323</v>
      </c>
      <c r="Z37" s="99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6"/>
      <c r="S38" s="9"/>
      <c r="T38" s="9"/>
      <c r="U38" s="9"/>
      <c r="V38" s="100" t="s">
        <v>14</v>
      </c>
      <c r="W38" s="101">
        <v>8.0</v>
      </c>
      <c r="X38" s="100"/>
      <c r="Y38" s="100" t="s">
        <v>13</v>
      </c>
      <c r="Z38" s="101">
        <v>15.0</v>
      </c>
    </row>
    <row r="39" ht="12.75" customHeight="1">
      <c r="A39" s="1" t="s">
        <v>144</v>
      </c>
      <c r="B39" s="2"/>
      <c r="C39" s="3"/>
      <c r="D39" s="5" t="s">
        <v>145</v>
      </c>
      <c r="E39" s="2"/>
      <c r="F39" s="1"/>
      <c r="G39" s="5" t="s">
        <v>146</v>
      </c>
      <c r="H39" s="2"/>
      <c r="I39" s="1"/>
      <c r="J39" s="5" t="s">
        <v>147</v>
      </c>
      <c r="K39" s="2"/>
      <c r="L39" s="1"/>
      <c r="M39" s="5" t="s">
        <v>148</v>
      </c>
      <c r="N39" s="2"/>
      <c r="O39" s="1"/>
      <c r="P39" s="5" t="s">
        <v>149</v>
      </c>
      <c r="Q39" s="2"/>
      <c r="R39" s="6"/>
      <c r="S39" s="5" t="s">
        <v>150</v>
      </c>
      <c r="T39" s="1"/>
      <c r="U39" s="1"/>
      <c r="V39" s="100" t="s">
        <v>27</v>
      </c>
      <c r="W39" s="101">
        <v>16.0</v>
      </c>
      <c r="X39" s="100"/>
      <c r="Y39" s="100" t="s">
        <v>372</v>
      </c>
      <c r="Z39" s="101">
        <v>0.0</v>
      </c>
    </row>
    <row r="40" ht="12.75" customHeight="1">
      <c r="A40" s="9" t="s">
        <v>6</v>
      </c>
      <c r="B40" s="10">
        <v>15.0</v>
      </c>
      <c r="C40" s="14" t="s">
        <v>9</v>
      </c>
      <c r="D40" s="1" t="s">
        <v>151</v>
      </c>
      <c r="E40" s="10">
        <v>15.0</v>
      </c>
      <c r="F40" s="14" t="s">
        <v>9</v>
      </c>
      <c r="G40" s="1" t="s">
        <v>152</v>
      </c>
      <c r="H40" s="10" t="s">
        <v>345</v>
      </c>
      <c r="I40" s="14"/>
      <c r="J40" s="9" t="s">
        <v>153</v>
      </c>
      <c r="K40" s="10" t="s">
        <v>345</v>
      </c>
      <c r="L40" s="14"/>
      <c r="M40" s="9" t="s">
        <v>154</v>
      </c>
      <c r="N40" s="10">
        <v>27.0</v>
      </c>
      <c r="O40" s="14" t="s">
        <v>9</v>
      </c>
      <c r="P40" s="1" t="s">
        <v>155</v>
      </c>
      <c r="Q40" s="10" t="s">
        <v>345</v>
      </c>
      <c r="R40" s="14"/>
      <c r="S40" s="9" t="s">
        <v>156</v>
      </c>
      <c r="T40" s="9"/>
      <c r="U40" s="9"/>
      <c r="V40" s="100" t="s">
        <v>33</v>
      </c>
      <c r="W40" s="101">
        <v>0.0</v>
      </c>
      <c r="X40" s="100"/>
      <c r="Y40" s="100" t="s">
        <v>50</v>
      </c>
      <c r="Z40" s="101">
        <v>0.0</v>
      </c>
    </row>
    <row r="41" ht="12.75" customHeight="1">
      <c r="A41" s="9"/>
      <c r="B41" s="10" t="s">
        <v>345</v>
      </c>
      <c r="C41" s="14"/>
      <c r="D41" s="9" t="s">
        <v>163</v>
      </c>
      <c r="E41" s="10" t="s">
        <v>345</v>
      </c>
      <c r="F41" s="14"/>
      <c r="G41" s="9" t="s">
        <v>158</v>
      </c>
      <c r="H41" s="10">
        <v>15.0</v>
      </c>
      <c r="I41" s="14" t="s">
        <v>9</v>
      </c>
      <c r="J41" s="5" t="s">
        <v>159</v>
      </c>
      <c r="K41" s="10">
        <v>23.0</v>
      </c>
      <c r="L41" s="14" t="s">
        <v>9</v>
      </c>
      <c r="M41" s="1" t="s">
        <v>160</v>
      </c>
      <c r="N41" s="10" t="s">
        <v>345</v>
      </c>
      <c r="O41" s="14"/>
      <c r="P41" s="12" t="s">
        <v>161</v>
      </c>
      <c r="Q41" s="10">
        <v>14.0</v>
      </c>
      <c r="R41" s="14" t="s">
        <v>9</v>
      </c>
      <c r="S41" s="1" t="s">
        <v>162</v>
      </c>
      <c r="T41" s="9"/>
      <c r="U41" s="9"/>
      <c r="V41" s="100" t="s">
        <v>58</v>
      </c>
      <c r="W41" s="101">
        <v>0.0</v>
      </c>
      <c r="X41" s="100"/>
      <c r="Y41" s="100" t="s">
        <v>57</v>
      </c>
      <c r="Z41" s="101">
        <v>11.0</v>
      </c>
    </row>
    <row r="42" ht="12.75" customHeight="1">
      <c r="A42" s="9"/>
      <c r="B42" s="10" t="s">
        <v>345</v>
      </c>
      <c r="C42" s="14"/>
      <c r="D42" s="12" t="s">
        <v>157</v>
      </c>
      <c r="E42" s="10" t="s">
        <v>345</v>
      </c>
      <c r="F42" s="14"/>
      <c r="G42" s="12" t="s">
        <v>164</v>
      </c>
      <c r="H42" s="10" t="s">
        <v>345</v>
      </c>
      <c r="I42" s="14"/>
      <c r="J42" s="12" t="s">
        <v>365</v>
      </c>
      <c r="K42" s="10" t="s">
        <v>345</v>
      </c>
      <c r="L42" s="14"/>
      <c r="M42" s="9" t="s">
        <v>363</v>
      </c>
      <c r="N42" s="10" t="s">
        <v>345</v>
      </c>
      <c r="O42" s="14"/>
      <c r="P42" s="12" t="s">
        <v>167</v>
      </c>
      <c r="Q42" s="10" t="s">
        <v>345</v>
      </c>
      <c r="R42" s="14"/>
      <c r="S42" s="12" t="s">
        <v>168</v>
      </c>
      <c r="T42" s="9"/>
      <c r="U42" s="9"/>
      <c r="V42" s="100" t="s">
        <v>64</v>
      </c>
      <c r="W42" s="101">
        <v>0.0</v>
      </c>
      <c r="X42" s="100"/>
      <c r="Y42" s="100" t="s">
        <v>75</v>
      </c>
      <c r="Z42" s="101">
        <v>0.0</v>
      </c>
    </row>
    <row r="43" ht="12.75" customHeight="1">
      <c r="A43" s="9"/>
      <c r="B43" s="10"/>
      <c r="C43" s="3"/>
      <c r="D43" s="9"/>
      <c r="E43" s="10"/>
      <c r="F43" s="3"/>
      <c r="G43" s="9"/>
      <c r="H43" s="10"/>
      <c r="I43" s="3"/>
      <c r="J43" s="9"/>
      <c r="K43" s="10"/>
      <c r="L43" s="3"/>
      <c r="M43" s="9"/>
      <c r="N43" s="10"/>
      <c r="O43" s="3"/>
      <c r="P43" s="9"/>
      <c r="Q43" s="10"/>
      <c r="R43" s="3"/>
      <c r="S43" s="9"/>
      <c r="T43" s="9"/>
      <c r="U43" s="9"/>
      <c r="V43" s="100" t="s">
        <v>357</v>
      </c>
      <c r="W43" s="101">
        <v>0.0</v>
      </c>
      <c r="X43" s="100"/>
      <c r="Y43" s="100" t="s">
        <v>82</v>
      </c>
      <c r="Z43" s="101">
        <v>6.0</v>
      </c>
    </row>
    <row r="44" ht="12.75" customHeight="1">
      <c r="A44" s="9" t="s">
        <v>26</v>
      </c>
      <c r="B44" s="10">
        <v>0.0</v>
      </c>
      <c r="C44" s="14" t="s">
        <v>9</v>
      </c>
      <c r="D44" s="1" t="s">
        <v>169</v>
      </c>
      <c r="E44" s="10">
        <v>8.0</v>
      </c>
      <c r="F44" s="14" t="s">
        <v>9</v>
      </c>
      <c r="G44" s="1" t="s">
        <v>170</v>
      </c>
      <c r="H44" s="10">
        <v>13.0</v>
      </c>
      <c r="I44" s="14" t="s">
        <v>9</v>
      </c>
      <c r="J44" s="1" t="s">
        <v>171</v>
      </c>
      <c r="K44" s="10">
        <v>9.0</v>
      </c>
      <c r="L44" s="14" t="s">
        <v>9</v>
      </c>
      <c r="M44" s="1" t="s">
        <v>172</v>
      </c>
      <c r="N44" s="10" t="s">
        <v>345</v>
      </c>
      <c r="O44" s="14"/>
      <c r="P44" s="12" t="s">
        <v>173</v>
      </c>
      <c r="Q44" s="10">
        <v>0.0</v>
      </c>
      <c r="R44" s="14" t="s">
        <v>9</v>
      </c>
      <c r="S44" s="1" t="s">
        <v>174</v>
      </c>
      <c r="T44" s="9"/>
      <c r="U44" s="9"/>
      <c r="V44" s="100" t="s">
        <v>97</v>
      </c>
      <c r="W44" s="101">
        <v>5.0</v>
      </c>
      <c r="X44" s="100"/>
      <c r="Y44" s="100" t="s">
        <v>102</v>
      </c>
      <c r="Z44" s="101">
        <v>0.0</v>
      </c>
    </row>
    <row r="45" ht="12.75" customHeight="1">
      <c r="A45" s="9"/>
      <c r="B45" s="10" t="s">
        <v>345</v>
      </c>
      <c r="C45" s="14"/>
      <c r="D45" s="9" t="s">
        <v>175</v>
      </c>
      <c r="E45" s="10">
        <v>0.0</v>
      </c>
      <c r="F45" s="14" t="s">
        <v>9</v>
      </c>
      <c r="G45" s="1" t="s">
        <v>176</v>
      </c>
      <c r="H45" s="10" t="s">
        <v>345</v>
      </c>
      <c r="I45" s="14"/>
      <c r="J45" s="12" t="s">
        <v>177</v>
      </c>
      <c r="K45" s="10">
        <v>3.0</v>
      </c>
      <c r="L45" s="14" t="s">
        <v>9</v>
      </c>
      <c r="M45" s="1" t="s">
        <v>178</v>
      </c>
      <c r="N45" s="10" t="s">
        <v>345</v>
      </c>
      <c r="O45" s="14"/>
      <c r="P45" s="9" t="s">
        <v>179</v>
      </c>
      <c r="Q45" s="10">
        <v>8.0</v>
      </c>
      <c r="R45" s="14" t="s">
        <v>9</v>
      </c>
      <c r="S45" s="1" t="s">
        <v>180</v>
      </c>
      <c r="T45" s="9"/>
      <c r="U45" s="9"/>
      <c r="V45" s="100" t="s">
        <v>116</v>
      </c>
      <c r="W45" s="101">
        <v>13.0</v>
      </c>
      <c r="X45" s="100"/>
      <c r="Y45" s="100" t="s">
        <v>115</v>
      </c>
      <c r="Z45" s="101">
        <v>10.0</v>
      </c>
    </row>
    <row r="46" ht="12.75" customHeight="1">
      <c r="A46" s="9"/>
      <c r="B46" s="10">
        <v>0.0</v>
      </c>
      <c r="C46" s="14" t="s">
        <v>9</v>
      </c>
      <c r="D46" s="5" t="s">
        <v>181</v>
      </c>
      <c r="E46" s="10" t="s">
        <v>345</v>
      </c>
      <c r="F46" s="14"/>
      <c r="G46" s="9" t="s">
        <v>182</v>
      </c>
      <c r="H46" s="10">
        <v>2.0</v>
      </c>
      <c r="I46" s="14" t="s">
        <v>9</v>
      </c>
      <c r="J46" s="5" t="s">
        <v>183</v>
      </c>
      <c r="K46" s="10" t="s">
        <v>345</v>
      </c>
      <c r="L46" s="14"/>
      <c r="M46" s="12" t="s">
        <v>184</v>
      </c>
      <c r="N46" s="10">
        <v>0.0</v>
      </c>
      <c r="O46" s="14" t="s">
        <v>9</v>
      </c>
      <c r="P46" s="4" t="s">
        <v>185</v>
      </c>
      <c r="Q46" s="10" t="s">
        <v>345</v>
      </c>
      <c r="R46" s="14"/>
      <c r="S46" s="12" t="s">
        <v>186</v>
      </c>
      <c r="T46" s="9"/>
      <c r="U46" s="9"/>
      <c r="V46" s="100" t="s">
        <v>123</v>
      </c>
      <c r="W46" s="101">
        <v>5.0</v>
      </c>
      <c r="X46" s="100"/>
      <c r="Y46" s="100" t="s">
        <v>128</v>
      </c>
      <c r="Z46" s="101">
        <v>4.0</v>
      </c>
    </row>
    <row r="47" ht="12.75" customHeight="1">
      <c r="A47" s="9"/>
      <c r="B47" s="10" t="s">
        <v>345</v>
      </c>
      <c r="C47" s="14"/>
      <c r="D47" s="12" t="s">
        <v>366</v>
      </c>
      <c r="E47" s="10" t="s">
        <v>345</v>
      </c>
      <c r="F47" s="14"/>
      <c r="G47" s="12" t="s">
        <v>188</v>
      </c>
      <c r="H47" s="10" t="s">
        <v>345</v>
      </c>
      <c r="I47" s="14"/>
      <c r="J47" s="12" t="s">
        <v>189</v>
      </c>
      <c r="K47" s="10" t="s">
        <v>345</v>
      </c>
      <c r="L47" s="14"/>
      <c r="M47" s="12" t="s">
        <v>37</v>
      </c>
      <c r="N47" s="10">
        <v>20.0</v>
      </c>
      <c r="O47" s="14" t="s">
        <v>9</v>
      </c>
      <c r="P47" s="5" t="s">
        <v>191</v>
      </c>
      <c r="Q47" s="10" t="s">
        <v>345</v>
      </c>
      <c r="R47" s="14"/>
      <c r="S47" s="9" t="s">
        <v>367</v>
      </c>
      <c r="T47" s="9"/>
      <c r="U47" s="9"/>
      <c r="V47" s="100"/>
      <c r="W47" s="101">
        <v>47.0</v>
      </c>
      <c r="X47" s="100"/>
      <c r="Y47" s="100"/>
      <c r="Z47" s="101">
        <v>46.0</v>
      </c>
    </row>
    <row r="48" ht="12.75" customHeight="1">
      <c r="A48" s="9"/>
      <c r="B48" s="10"/>
      <c r="C48" s="3"/>
      <c r="D48" s="9"/>
      <c r="E48" s="10"/>
      <c r="F48" s="3"/>
      <c r="G48" s="9"/>
      <c r="H48" s="10"/>
      <c r="I48" s="3"/>
      <c r="J48" s="9"/>
      <c r="K48" s="10"/>
      <c r="L48" s="3"/>
      <c r="M48" s="9"/>
      <c r="N48" s="10"/>
      <c r="O48" s="3"/>
      <c r="P48" s="9"/>
      <c r="Q48" s="10"/>
      <c r="R48" s="3"/>
      <c r="S48" s="9"/>
      <c r="T48" s="9"/>
      <c r="U48" s="9"/>
      <c r="V48" s="100"/>
      <c r="W48" s="101"/>
      <c r="X48" s="100"/>
      <c r="Y48" s="100"/>
      <c r="Z48" s="101"/>
    </row>
    <row r="49" ht="12.75" customHeight="1">
      <c r="A49" s="9" t="s">
        <v>51</v>
      </c>
      <c r="B49" s="10" t="s">
        <v>345</v>
      </c>
      <c r="C49" s="14"/>
      <c r="D49" s="9" t="s">
        <v>193</v>
      </c>
      <c r="E49" s="10" t="s">
        <v>345</v>
      </c>
      <c r="F49" s="14"/>
      <c r="G49" s="9" t="s">
        <v>194</v>
      </c>
      <c r="H49" s="10" t="s">
        <v>345</v>
      </c>
      <c r="I49" s="14"/>
      <c r="J49" s="9" t="s">
        <v>364</v>
      </c>
      <c r="K49" s="10">
        <v>0.0</v>
      </c>
      <c r="L49" s="14" t="s">
        <v>9</v>
      </c>
      <c r="M49" s="1" t="s">
        <v>196</v>
      </c>
      <c r="N49" s="10" t="s">
        <v>345</v>
      </c>
      <c r="O49" s="14"/>
      <c r="P49" s="9" t="s">
        <v>197</v>
      </c>
      <c r="Q49" s="10">
        <v>0.0</v>
      </c>
      <c r="R49" s="14" t="s">
        <v>9</v>
      </c>
      <c r="S49" s="5" t="s">
        <v>198</v>
      </c>
      <c r="T49" s="9"/>
      <c r="U49" s="9"/>
      <c r="V49" s="98" t="s">
        <v>321</v>
      </c>
      <c r="W49" s="99"/>
      <c r="X49" s="98"/>
      <c r="Y49" s="98" t="s">
        <v>329</v>
      </c>
      <c r="Z49" s="99"/>
    </row>
    <row r="50" ht="12.75" customHeight="1">
      <c r="A50" s="9"/>
      <c r="B50" s="10">
        <v>0.0</v>
      </c>
      <c r="C50" s="14" t="s">
        <v>9</v>
      </c>
      <c r="D50" s="1" t="s">
        <v>199</v>
      </c>
      <c r="E50" s="10">
        <v>2.0</v>
      </c>
      <c r="F50" s="14" t="s">
        <v>9</v>
      </c>
      <c r="G50" s="5" t="s">
        <v>200</v>
      </c>
      <c r="H50" s="10">
        <v>11.0</v>
      </c>
      <c r="I50" s="14" t="s">
        <v>9</v>
      </c>
      <c r="J50" s="1" t="s">
        <v>201</v>
      </c>
      <c r="K50" s="10" t="s">
        <v>345</v>
      </c>
      <c r="L50" s="14"/>
      <c r="M50" s="9" t="s">
        <v>202</v>
      </c>
      <c r="N50" s="10" t="s">
        <v>345</v>
      </c>
      <c r="O50" s="14"/>
      <c r="P50" s="9" t="s">
        <v>203</v>
      </c>
      <c r="Q50" s="10">
        <v>6.0</v>
      </c>
      <c r="R50" s="14" t="s">
        <v>9</v>
      </c>
      <c r="S50" s="1" t="s">
        <v>204</v>
      </c>
      <c r="T50" s="9"/>
      <c r="U50" s="9"/>
      <c r="V50" s="100" t="s">
        <v>11</v>
      </c>
      <c r="W50" s="101">
        <v>14.0</v>
      </c>
      <c r="X50" s="100"/>
      <c r="Y50" s="100" t="s">
        <v>162</v>
      </c>
      <c r="Z50" s="101">
        <v>14.0</v>
      </c>
    </row>
    <row r="51" ht="12.75" customHeight="1">
      <c r="A51" s="9"/>
      <c r="B51" s="10">
        <v>0.0</v>
      </c>
      <c r="C51" s="14" t="s">
        <v>9</v>
      </c>
      <c r="D51" s="1" t="s">
        <v>205</v>
      </c>
      <c r="E51" s="10">
        <v>0.0</v>
      </c>
      <c r="F51" s="14" t="s">
        <v>9</v>
      </c>
      <c r="G51" s="1" t="s">
        <v>206</v>
      </c>
      <c r="H51" s="10">
        <v>2.0</v>
      </c>
      <c r="I51" s="14" t="s">
        <v>9</v>
      </c>
      <c r="J51" s="4" t="s">
        <v>207</v>
      </c>
      <c r="K51" s="10">
        <v>11.0</v>
      </c>
      <c r="L51" s="14" t="s">
        <v>9</v>
      </c>
      <c r="M51" s="1" t="s">
        <v>208</v>
      </c>
      <c r="N51" s="10">
        <v>0.0</v>
      </c>
      <c r="O51" s="14" t="s">
        <v>9</v>
      </c>
      <c r="P51" s="1" t="s">
        <v>209</v>
      </c>
      <c r="Q51" s="10" t="s">
        <v>345</v>
      </c>
      <c r="R51" s="14"/>
      <c r="S51" s="9" t="s">
        <v>210</v>
      </c>
      <c r="T51" s="9"/>
      <c r="U51" s="9"/>
      <c r="V51" s="100" t="s">
        <v>30</v>
      </c>
      <c r="W51" s="101">
        <v>16.0</v>
      </c>
      <c r="X51" s="100"/>
      <c r="Y51" s="100" t="s">
        <v>174</v>
      </c>
      <c r="Z51" s="101">
        <v>0.0</v>
      </c>
    </row>
    <row r="52" ht="12.75" customHeight="1">
      <c r="A52" s="9"/>
      <c r="B52" s="10" t="s">
        <v>345</v>
      </c>
      <c r="C52" s="14"/>
      <c r="D52" s="12" t="s">
        <v>368</v>
      </c>
      <c r="E52" s="10" t="s">
        <v>345</v>
      </c>
      <c r="F52" s="14"/>
      <c r="G52" s="17" t="s">
        <v>212</v>
      </c>
      <c r="H52" s="10" t="s">
        <v>345</v>
      </c>
      <c r="I52" s="14"/>
      <c r="J52" s="12" t="s">
        <v>213</v>
      </c>
      <c r="K52" s="10" t="s">
        <v>345</v>
      </c>
      <c r="L52" s="14"/>
      <c r="M52" s="12" t="s">
        <v>349</v>
      </c>
      <c r="N52" s="10">
        <v>0.0</v>
      </c>
      <c r="O52" s="14" t="s">
        <v>9</v>
      </c>
      <c r="P52" s="5" t="s">
        <v>215</v>
      </c>
      <c r="Q52" s="10" t="s">
        <v>345</v>
      </c>
      <c r="R52" s="14"/>
      <c r="S52" s="12" t="s">
        <v>216</v>
      </c>
      <c r="T52" s="9"/>
      <c r="U52" s="9"/>
      <c r="V52" s="100" t="s">
        <v>42</v>
      </c>
      <c r="W52" s="101">
        <v>6.0</v>
      </c>
      <c r="X52" s="100"/>
      <c r="Y52" s="100" t="s">
        <v>180</v>
      </c>
      <c r="Z52" s="101">
        <v>8.0</v>
      </c>
    </row>
    <row r="53" ht="12.75" customHeight="1">
      <c r="A53" s="9"/>
      <c r="B53" s="10"/>
      <c r="C53" s="3"/>
      <c r="D53" s="9"/>
      <c r="E53" s="10"/>
      <c r="F53" s="3"/>
      <c r="G53" s="9"/>
      <c r="H53" s="10"/>
      <c r="I53" s="3"/>
      <c r="J53" s="9"/>
      <c r="K53" s="10"/>
      <c r="L53" s="3"/>
      <c r="M53" s="9"/>
      <c r="N53" s="10"/>
      <c r="O53" s="3"/>
      <c r="P53" s="9"/>
      <c r="Q53" s="10"/>
      <c r="R53" s="3"/>
      <c r="S53" s="9"/>
      <c r="T53" s="9"/>
      <c r="U53" s="9"/>
      <c r="V53" s="100" t="s">
        <v>67</v>
      </c>
      <c r="W53" s="101">
        <v>0.0</v>
      </c>
      <c r="X53" s="100"/>
      <c r="Y53" s="100" t="s">
        <v>198</v>
      </c>
      <c r="Z53" s="101">
        <v>0.0</v>
      </c>
    </row>
    <row r="54" ht="12.75" customHeight="1">
      <c r="A54" s="9" t="s">
        <v>76</v>
      </c>
      <c r="B54" s="10">
        <v>0.0</v>
      </c>
      <c r="C54" s="14" t="s">
        <v>9</v>
      </c>
      <c r="D54" s="1" t="s">
        <v>217</v>
      </c>
      <c r="E54" s="10">
        <v>8.0</v>
      </c>
      <c r="F54" s="14" t="s">
        <v>9</v>
      </c>
      <c r="G54" s="1" t="s">
        <v>218</v>
      </c>
      <c r="H54" s="10" t="s">
        <v>345</v>
      </c>
      <c r="I54" s="14"/>
      <c r="J54" s="9" t="s">
        <v>219</v>
      </c>
      <c r="K54" s="10" t="s">
        <v>345</v>
      </c>
      <c r="L54" s="14"/>
      <c r="M54" s="12" t="s">
        <v>220</v>
      </c>
      <c r="N54" s="10">
        <v>0.0</v>
      </c>
      <c r="O54" s="14" t="s">
        <v>9</v>
      </c>
      <c r="P54" s="1" t="s">
        <v>221</v>
      </c>
      <c r="Q54" s="10" t="s">
        <v>345</v>
      </c>
      <c r="R54" s="14"/>
      <c r="S54" s="9" t="s">
        <v>222</v>
      </c>
      <c r="T54" s="9"/>
      <c r="U54" s="9"/>
      <c r="V54" s="100" t="s">
        <v>73</v>
      </c>
      <c r="W54" s="101">
        <v>0.0</v>
      </c>
      <c r="X54" s="100"/>
      <c r="Y54" s="100" t="s">
        <v>204</v>
      </c>
      <c r="Z54" s="101">
        <v>6.0</v>
      </c>
    </row>
    <row r="55" ht="12.75" customHeight="1">
      <c r="A55" s="9"/>
      <c r="B55" s="10" t="s">
        <v>345</v>
      </c>
      <c r="C55" s="14"/>
      <c r="D55" s="12" t="s">
        <v>223</v>
      </c>
      <c r="E55" s="10" t="s">
        <v>345</v>
      </c>
      <c r="F55" s="14"/>
      <c r="G55" s="9" t="s">
        <v>224</v>
      </c>
      <c r="H55" s="10">
        <v>0.0</v>
      </c>
      <c r="I55" s="14" t="s">
        <v>9</v>
      </c>
      <c r="J55" s="1" t="s">
        <v>225</v>
      </c>
      <c r="K55" s="10">
        <v>0.0</v>
      </c>
      <c r="L55" s="14" t="s">
        <v>9</v>
      </c>
      <c r="M55" s="5" t="s">
        <v>226</v>
      </c>
      <c r="N55" s="10" t="s">
        <v>345</v>
      </c>
      <c r="O55" s="14"/>
      <c r="P55" s="9" t="s">
        <v>227</v>
      </c>
      <c r="Q55" s="10" t="s">
        <v>345</v>
      </c>
      <c r="R55" s="14"/>
      <c r="S55" s="12" t="s">
        <v>228</v>
      </c>
      <c r="T55" s="9"/>
      <c r="U55" s="9"/>
      <c r="V55" s="100" t="s">
        <v>92</v>
      </c>
      <c r="W55" s="101">
        <v>0.0</v>
      </c>
      <c r="X55" s="100"/>
      <c r="Y55" s="100" t="s">
        <v>234</v>
      </c>
      <c r="Z55" s="101">
        <v>2.0</v>
      </c>
    </row>
    <row r="56" ht="12.75" customHeight="1">
      <c r="A56" s="9"/>
      <c r="B56" s="10" t="s">
        <v>345</v>
      </c>
      <c r="C56" s="14"/>
      <c r="D56" s="12" t="s">
        <v>229</v>
      </c>
      <c r="E56" s="10" t="s">
        <v>345</v>
      </c>
      <c r="F56" s="14"/>
      <c r="G56" s="9" t="s">
        <v>230</v>
      </c>
      <c r="H56" s="10" t="s">
        <v>345</v>
      </c>
      <c r="I56" s="14"/>
      <c r="J56" s="12" t="s">
        <v>231</v>
      </c>
      <c r="K56" s="10" t="s">
        <v>345</v>
      </c>
      <c r="L56" s="14"/>
      <c r="M56" s="12" t="s">
        <v>369</v>
      </c>
      <c r="N56" s="10" t="s">
        <v>345</v>
      </c>
      <c r="O56" s="14"/>
      <c r="P56" s="9" t="s">
        <v>233</v>
      </c>
      <c r="Q56" s="10">
        <v>2.0</v>
      </c>
      <c r="R56" s="14" t="s">
        <v>9</v>
      </c>
      <c r="S56" s="5" t="s">
        <v>234</v>
      </c>
      <c r="T56" s="9"/>
      <c r="U56" s="9"/>
      <c r="V56" s="100" t="s">
        <v>100</v>
      </c>
      <c r="W56" s="101">
        <v>10.0</v>
      </c>
      <c r="X56" s="100"/>
      <c r="Y56" s="100" t="s">
        <v>240</v>
      </c>
      <c r="Z56" s="101">
        <v>4.0</v>
      </c>
    </row>
    <row r="57" ht="12.75" customHeight="1">
      <c r="A57" s="9"/>
      <c r="B57" s="10"/>
      <c r="C57" s="3"/>
      <c r="D57" s="9"/>
      <c r="E57" s="10"/>
      <c r="F57" s="3"/>
      <c r="G57" s="9"/>
      <c r="H57" s="10"/>
      <c r="I57" s="3"/>
      <c r="J57" s="9"/>
      <c r="K57" s="10"/>
      <c r="L57" s="3"/>
      <c r="M57" s="9"/>
      <c r="N57" s="10"/>
      <c r="O57" s="3"/>
      <c r="P57" s="9"/>
      <c r="Q57" s="10"/>
      <c r="R57" s="3"/>
      <c r="S57" s="9"/>
      <c r="T57" s="9"/>
      <c r="U57" s="9"/>
      <c r="V57" s="100" t="s">
        <v>113</v>
      </c>
      <c r="W57" s="101">
        <v>16.0</v>
      </c>
      <c r="X57" s="100"/>
      <c r="Y57" s="100" t="s">
        <v>258</v>
      </c>
      <c r="Z57" s="101">
        <v>5.0</v>
      </c>
    </row>
    <row r="58" ht="12.75" customHeight="1">
      <c r="A58" s="9" t="s">
        <v>96</v>
      </c>
      <c r="B58" s="10">
        <v>0.0</v>
      </c>
      <c r="C58" s="14" t="s">
        <v>9</v>
      </c>
      <c r="D58" s="1" t="s">
        <v>235</v>
      </c>
      <c r="E58" s="10" t="s">
        <v>345</v>
      </c>
      <c r="F58" s="14"/>
      <c r="G58" s="9" t="s">
        <v>236</v>
      </c>
      <c r="H58" s="10" t="s">
        <v>345</v>
      </c>
      <c r="I58" s="14"/>
      <c r="J58" s="9" t="s">
        <v>370</v>
      </c>
      <c r="K58" s="10">
        <v>0.0</v>
      </c>
      <c r="L58" s="14" t="s">
        <v>9</v>
      </c>
      <c r="M58" s="5" t="s">
        <v>238</v>
      </c>
      <c r="N58" s="10" t="s">
        <v>345</v>
      </c>
      <c r="O58" s="14"/>
      <c r="P58" s="12" t="s">
        <v>239</v>
      </c>
      <c r="Q58" s="10">
        <v>4.0</v>
      </c>
      <c r="R58" s="14" t="s">
        <v>9</v>
      </c>
      <c r="S58" s="1" t="s">
        <v>240</v>
      </c>
      <c r="T58" s="9"/>
      <c r="U58" s="9"/>
      <c r="V58" s="100" t="s">
        <v>126</v>
      </c>
      <c r="W58" s="101">
        <v>0.0</v>
      </c>
      <c r="X58" s="100"/>
      <c r="Y58" s="100" t="s">
        <v>270</v>
      </c>
      <c r="Z58" s="101">
        <v>0.0</v>
      </c>
    </row>
    <row r="59" ht="12.75" customHeight="1">
      <c r="A59" s="9"/>
      <c r="B59" s="10" t="s">
        <v>345</v>
      </c>
      <c r="C59" s="14"/>
      <c r="D59" s="12" t="s">
        <v>371</v>
      </c>
      <c r="E59" s="10">
        <v>7.0</v>
      </c>
      <c r="F59" s="14" t="s">
        <v>9</v>
      </c>
      <c r="G59" s="1" t="s">
        <v>242</v>
      </c>
      <c r="H59" s="10">
        <v>3.0</v>
      </c>
      <c r="I59" s="14" t="s">
        <v>9</v>
      </c>
      <c r="J59" s="1" t="s">
        <v>237</v>
      </c>
      <c r="K59" s="10" t="s">
        <v>345</v>
      </c>
      <c r="L59" s="14"/>
      <c r="M59" s="12" t="s">
        <v>244</v>
      </c>
      <c r="N59" s="10">
        <v>2.0</v>
      </c>
      <c r="O59" s="14" t="s">
        <v>9</v>
      </c>
      <c r="P59" s="5" t="s">
        <v>245</v>
      </c>
      <c r="Q59" s="10" t="s">
        <v>345</v>
      </c>
      <c r="R59" s="14"/>
      <c r="S59" s="12" t="s">
        <v>246</v>
      </c>
      <c r="T59" s="9"/>
      <c r="U59" s="9"/>
      <c r="V59" s="100"/>
      <c r="W59" s="101">
        <v>62.0</v>
      </c>
      <c r="X59" s="100"/>
      <c r="Y59" s="100"/>
      <c r="Z59" s="101">
        <v>39.0</v>
      </c>
    </row>
    <row r="60" ht="12.75" customHeight="1">
      <c r="A60" s="9"/>
      <c r="B60" s="10"/>
      <c r="C60" s="3"/>
      <c r="D60" s="9"/>
      <c r="E60" s="10"/>
      <c r="F60" s="3"/>
      <c r="G60" s="9"/>
      <c r="H60" s="10"/>
      <c r="I60" s="3"/>
      <c r="J60" s="9"/>
      <c r="K60" s="10"/>
      <c r="L60" s="3"/>
      <c r="M60" s="9"/>
      <c r="N60" s="10"/>
      <c r="O60" s="3"/>
      <c r="P60" s="9"/>
      <c r="Q60" s="10"/>
      <c r="R60" s="3"/>
      <c r="S60" s="9"/>
      <c r="T60" s="9"/>
      <c r="U60" s="9"/>
      <c r="V60" s="100"/>
      <c r="W60" s="101"/>
      <c r="X60" s="100"/>
      <c r="Y60" s="100"/>
      <c r="Z60" s="101"/>
    </row>
    <row r="61" ht="12.75" customHeight="1">
      <c r="A61" s="9" t="s">
        <v>109</v>
      </c>
      <c r="B61" s="10">
        <v>9.0</v>
      </c>
      <c r="C61" s="14" t="s">
        <v>9</v>
      </c>
      <c r="D61" s="1" t="s">
        <v>247</v>
      </c>
      <c r="E61" s="10">
        <v>1.0</v>
      </c>
      <c r="F61" s="14" t="s">
        <v>9</v>
      </c>
      <c r="G61" s="5" t="s">
        <v>248</v>
      </c>
      <c r="H61" s="10">
        <v>0.0</v>
      </c>
      <c r="I61" s="14" t="s">
        <v>9</v>
      </c>
      <c r="J61" s="5" t="s">
        <v>249</v>
      </c>
      <c r="K61" s="10">
        <v>12.0</v>
      </c>
      <c r="L61" s="14" t="s">
        <v>9</v>
      </c>
      <c r="M61" s="5" t="s">
        <v>250</v>
      </c>
      <c r="N61" s="10" t="s">
        <v>345</v>
      </c>
      <c r="O61" s="14"/>
      <c r="P61" s="9" t="s">
        <v>251</v>
      </c>
      <c r="Q61" s="10" t="s">
        <v>345</v>
      </c>
      <c r="R61" s="14"/>
      <c r="S61" s="12" t="s">
        <v>252</v>
      </c>
      <c r="T61" s="9"/>
      <c r="U61" s="9"/>
      <c r="V61" s="98" t="s">
        <v>324</v>
      </c>
      <c r="W61" s="99"/>
      <c r="X61" s="98"/>
      <c r="Y61" s="98" t="s">
        <v>320</v>
      </c>
      <c r="Z61" s="99"/>
    </row>
    <row r="62" ht="12.75" customHeight="1">
      <c r="A62" s="9"/>
      <c r="B62" s="10" t="s">
        <v>345</v>
      </c>
      <c r="C62" s="14"/>
      <c r="D62" s="9" t="s">
        <v>253</v>
      </c>
      <c r="E62" s="10" t="s">
        <v>345</v>
      </c>
      <c r="F62" s="14"/>
      <c r="G62" s="12" t="s">
        <v>254</v>
      </c>
      <c r="H62" s="10" t="s">
        <v>345</v>
      </c>
      <c r="I62" s="14"/>
      <c r="J62" s="12" t="s">
        <v>255</v>
      </c>
      <c r="K62" s="10" t="s">
        <v>345</v>
      </c>
      <c r="L62" s="14"/>
      <c r="M62" s="9" t="s">
        <v>256</v>
      </c>
      <c r="N62" s="10">
        <v>0.0</v>
      </c>
      <c r="O62" s="14" t="s">
        <v>9</v>
      </c>
      <c r="P62" s="5" t="s">
        <v>257</v>
      </c>
      <c r="Q62" s="10">
        <v>5.0</v>
      </c>
      <c r="R62" s="14" t="s">
        <v>9</v>
      </c>
      <c r="S62" s="5" t="s">
        <v>258</v>
      </c>
      <c r="T62" s="9"/>
      <c r="U62" s="9"/>
      <c r="V62" s="100" t="s">
        <v>151</v>
      </c>
      <c r="W62" s="101">
        <v>15.0</v>
      </c>
      <c r="X62" s="100"/>
      <c r="Y62" s="100" t="s">
        <v>22</v>
      </c>
      <c r="Z62" s="101">
        <v>21.0</v>
      </c>
    </row>
    <row r="63" ht="12.75" customHeight="1">
      <c r="A63" s="9"/>
      <c r="B63" s="10"/>
      <c r="C63" s="3"/>
      <c r="D63" s="9"/>
      <c r="E63" s="10"/>
      <c r="F63" s="3"/>
      <c r="G63" s="9"/>
      <c r="H63" s="10"/>
      <c r="I63" s="3"/>
      <c r="J63" s="9"/>
      <c r="K63" s="10"/>
      <c r="L63" s="3"/>
      <c r="M63" s="9"/>
      <c r="N63" s="10"/>
      <c r="O63" s="3"/>
      <c r="P63" s="9"/>
      <c r="Q63" s="10"/>
      <c r="R63" s="3"/>
      <c r="S63" s="9"/>
      <c r="T63" s="9"/>
      <c r="U63" s="9"/>
      <c r="V63" s="100" t="s">
        <v>169</v>
      </c>
      <c r="W63" s="101">
        <v>0.0</v>
      </c>
      <c r="X63" s="100"/>
      <c r="Y63" s="100" t="s">
        <v>29</v>
      </c>
      <c r="Z63" s="101">
        <v>6.0</v>
      </c>
    </row>
    <row r="64" ht="12.75" customHeight="1">
      <c r="A64" s="9" t="s">
        <v>122</v>
      </c>
      <c r="B64" s="10">
        <v>4.0</v>
      </c>
      <c r="C64" s="14" t="s">
        <v>9</v>
      </c>
      <c r="D64" s="5" t="s">
        <v>259</v>
      </c>
      <c r="E64" s="10">
        <v>4.0</v>
      </c>
      <c r="F64" s="14" t="s">
        <v>9</v>
      </c>
      <c r="G64" s="1" t="s">
        <v>260</v>
      </c>
      <c r="H64" s="10">
        <v>0.0</v>
      </c>
      <c r="I64" s="14" t="s">
        <v>9</v>
      </c>
      <c r="J64" s="1" t="s">
        <v>261</v>
      </c>
      <c r="K64" s="10">
        <v>0.0</v>
      </c>
      <c r="L64" s="14" t="s">
        <v>9</v>
      </c>
      <c r="M64" s="5" t="s">
        <v>262</v>
      </c>
      <c r="N64" s="10">
        <v>0.0</v>
      </c>
      <c r="O64" s="14" t="s">
        <v>9</v>
      </c>
      <c r="P64" s="5" t="s">
        <v>263</v>
      </c>
      <c r="Q64" s="10" t="s">
        <v>345</v>
      </c>
      <c r="R64" s="14"/>
      <c r="S64" s="9" t="s">
        <v>264</v>
      </c>
      <c r="T64" s="9"/>
      <c r="U64" s="9"/>
      <c r="V64" s="100" t="s">
        <v>181</v>
      </c>
      <c r="W64" s="101">
        <v>0.0</v>
      </c>
      <c r="X64" s="100"/>
      <c r="Y64" s="100" t="s">
        <v>41</v>
      </c>
      <c r="Z64" s="101">
        <v>0.0</v>
      </c>
    </row>
    <row r="65" ht="12.75" customHeight="1">
      <c r="A65" s="9"/>
      <c r="B65" s="10" t="s">
        <v>345</v>
      </c>
      <c r="C65" s="14"/>
      <c r="D65" s="9" t="s">
        <v>265</v>
      </c>
      <c r="E65" s="10" t="s">
        <v>345</v>
      </c>
      <c r="F65" s="14"/>
      <c r="G65" s="12" t="s">
        <v>266</v>
      </c>
      <c r="H65" s="10" t="s">
        <v>345</v>
      </c>
      <c r="I65" s="14"/>
      <c r="J65" s="9" t="s">
        <v>267</v>
      </c>
      <c r="K65" s="10" t="s">
        <v>345</v>
      </c>
      <c r="L65" s="14"/>
      <c r="M65" s="9" t="s">
        <v>268</v>
      </c>
      <c r="N65" s="10" t="s">
        <v>345</v>
      </c>
      <c r="O65" s="14"/>
      <c r="P65" s="9" t="s">
        <v>269</v>
      </c>
      <c r="Q65" s="10">
        <v>0.0</v>
      </c>
      <c r="R65" s="14" t="s">
        <v>9</v>
      </c>
      <c r="S65" s="5" t="s">
        <v>270</v>
      </c>
      <c r="T65" s="9"/>
      <c r="U65" s="9"/>
      <c r="V65" s="100" t="s">
        <v>199</v>
      </c>
      <c r="W65" s="101">
        <v>0.0</v>
      </c>
      <c r="X65" s="100"/>
      <c r="Y65" s="100" t="s">
        <v>54</v>
      </c>
      <c r="Z65" s="101">
        <v>8.0</v>
      </c>
    </row>
    <row r="66" ht="12.75" customHeight="1">
      <c r="A66" s="9"/>
      <c r="B66" s="2"/>
      <c r="C66" s="3"/>
      <c r="D66" s="9"/>
      <c r="E66" s="10"/>
      <c r="F66" s="3"/>
      <c r="G66" s="9"/>
      <c r="H66" s="10"/>
      <c r="I66" s="3"/>
      <c r="J66" s="9"/>
      <c r="K66" s="10"/>
      <c r="L66" s="3"/>
      <c r="M66" s="9"/>
      <c r="N66" s="10"/>
      <c r="O66" s="3"/>
      <c r="P66" s="9"/>
      <c r="Q66" s="10"/>
      <c r="R66" s="3"/>
      <c r="S66" s="9"/>
      <c r="T66" s="9"/>
      <c r="U66" s="9"/>
      <c r="V66" s="100" t="s">
        <v>205</v>
      </c>
      <c r="W66" s="101">
        <v>0.0</v>
      </c>
      <c r="X66" s="100"/>
      <c r="Y66" s="100" t="s">
        <v>66</v>
      </c>
      <c r="Z66" s="101">
        <v>0.0</v>
      </c>
    </row>
    <row r="67" ht="12.75" customHeight="1">
      <c r="A67" s="19"/>
      <c r="B67" s="20"/>
      <c r="C67" s="21"/>
      <c r="D67" s="22">
        <v>28.0</v>
      </c>
      <c r="E67" s="20"/>
      <c r="F67" s="21"/>
      <c r="G67" s="22">
        <v>45.0</v>
      </c>
      <c r="H67" s="20"/>
      <c r="I67" s="21"/>
      <c r="J67" s="22">
        <v>46.0</v>
      </c>
      <c r="K67" s="20"/>
      <c r="L67" s="21"/>
      <c r="M67" s="22">
        <v>58.0</v>
      </c>
      <c r="N67" s="20"/>
      <c r="O67" s="21"/>
      <c r="P67" s="22">
        <v>49.0</v>
      </c>
      <c r="Q67" s="20"/>
      <c r="R67" s="21"/>
      <c r="S67" s="22">
        <v>39.0</v>
      </c>
      <c r="T67" s="19"/>
      <c r="U67" s="19"/>
      <c r="V67" s="100" t="s">
        <v>217</v>
      </c>
      <c r="W67" s="101">
        <v>0.0</v>
      </c>
      <c r="X67" s="100"/>
      <c r="Y67" s="100" t="s">
        <v>91</v>
      </c>
      <c r="Z67" s="101">
        <v>8.0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6"/>
      <c r="S68" s="9"/>
      <c r="T68" s="9"/>
      <c r="U68" s="9"/>
      <c r="V68" s="100" t="s">
        <v>235</v>
      </c>
      <c r="W68" s="101">
        <v>0.0</v>
      </c>
      <c r="X68" s="100"/>
      <c r="Y68" s="100" t="s">
        <v>99</v>
      </c>
      <c r="Z68" s="101">
        <v>11.0</v>
      </c>
    </row>
    <row r="69" ht="12.75" customHeight="1">
      <c r="A69" s="9" t="s">
        <v>135</v>
      </c>
      <c r="B69" s="2"/>
      <c r="C69" s="3"/>
      <c r="D69" s="9" t="s">
        <v>271</v>
      </c>
      <c r="E69" s="2"/>
      <c r="F69" s="6"/>
      <c r="G69" s="9" t="s">
        <v>272</v>
      </c>
      <c r="H69" s="2"/>
      <c r="I69" s="6"/>
      <c r="J69" s="9" t="s">
        <v>273</v>
      </c>
      <c r="K69" s="2"/>
      <c r="L69" s="6"/>
      <c r="M69" s="9" t="s">
        <v>274</v>
      </c>
      <c r="N69" s="2"/>
      <c r="O69" s="6"/>
      <c r="P69" s="9" t="s">
        <v>275</v>
      </c>
      <c r="Q69" s="2"/>
      <c r="R69" s="6"/>
      <c r="S69" s="9" t="s">
        <v>276</v>
      </c>
      <c r="T69" s="9"/>
      <c r="U69" s="9"/>
      <c r="V69" s="100" t="s">
        <v>247</v>
      </c>
      <c r="W69" s="101">
        <v>9.0</v>
      </c>
      <c r="X69" s="100"/>
      <c r="Y69" s="100" t="s">
        <v>112</v>
      </c>
      <c r="Z69" s="101">
        <v>0.0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277</v>
      </c>
      <c r="K70" s="2"/>
      <c r="L70" s="6"/>
      <c r="M70" s="9" t="s">
        <v>95</v>
      </c>
      <c r="N70" s="2"/>
      <c r="O70" s="6"/>
      <c r="P70" s="9"/>
      <c r="Q70" s="2"/>
      <c r="R70" s="6"/>
      <c r="S70" s="9"/>
      <c r="T70" s="9"/>
      <c r="U70" s="9"/>
      <c r="V70" s="100" t="s">
        <v>259</v>
      </c>
      <c r="W70" s="101">
        <v>4.0</v>
      </c>
      <c r="X70" s="100"/>
      <c r="Y70" s="100" t="s">
        <v>131</v>
      </c>
      <c r="Z70" s="101">
        <v>4.0</v>
      </c>
    </row>
    <row r="71" ht="12.75" customHeight="1">
      <c r="A71" s="9"/>
      <c r="B71" s="2"/>
      <c r="C71" s="3"/>
      <c r="D71" s="9"/>
      <c r="E71" s="2"/>
      <c r="F71" s="6"/>
      <c r="G71" s="28"/>
      <c r="H71" s="2"/>
      <c r="I71" s="6"/>
      <c r="J71" s="28"/>
      <c r="K71" s="2"/>
      <c r="L71" s="6"/>
      <c r="M71" s="28"/>
      <c r="N71" s="2"/>
      <c r="O71" s="6"/>
      <c r="P71" s="28"/>
      <c r="Q71" s="2"/>
      <c r="R71" s="6"/>
      <c r="S71" s="28"/>
      <c r="T71" s="9"/>
      <c r="U71" s="9"/>
      <c r="V71" s="100"/>
      <c r="W71" s="101">
        <v>28.0</v>
      </c>
      <c r="X71" s="100"/>
      <c r="Y71" s="100"/>
      <c r="Z71" s="101">
        <v>58.0</v>
      </c>
    </row>
    <row r="72" ht="12.75" customHeight="1">
      <c r="A72" s="9" t="s">
        <v>143</v>
      </c>
      <c r="B72" s="2"/>
      <c r="C72" s="3"/>
      <c r="D72" s="18"/>
      <c r="F72" s="29"/>
      <c r="G72" s="27"/>
      <c r="H72" s="25"/>
      <c r="J72" s="27"/>
      <c r="K72" s="26"/>
      <c r="M72" s="27"/>
      <c r="N72" s="26"/>
      <c r="P72" s="27"/>
      <c r="Q72" s="25"/>
      <c r="R72" s="30"/>
      <c r="S72" s="27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29"/>
      <c r="G73" s="27"/>
      <c r="H73" s="25"/>
      <c r="J73" s="27"/>
      <c r="K73" s="26"/>
      <c r="M73" s="27"/>
      <c r="N73" s="28"/>
      <c r="P73" s="27"/>
      <c r="Q73" s="25"/>
      <c r="R73" s="30"/>
      <c r="S73" s="25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29"/>
      <c r="G74" s="25"/>
      <c r="H74" s="25"/>
      <c r="J74" s="27"/>
      <c r="K74" s="26"/>
      <c r="M74" s="27"/>
      <c r="N74" s="26"/>
      <c r="P74" s="27"/>
      <c r="Q74" s="25"/>
      <c r="R74" s="30"/>
      <c r="S74" s="25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0.71"/>
    <col customWidth="1" min="23" max="23" width="4.0"/>
    <col customWidth="1" min="24" max="24" width="3.0"/>
    <col customWidth="1" min="25" max="25" width="22.29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8" t="s">
        <v>327</v>
      </c>
      <c r="W1" s="99"/>
      <c r="X1" s="98"/>
      <c r="Y1" s="98" t="s">
        <v>325</v>
      </c>
      <c r="Z1" s="99"/>
    </row>
    <row r="2" ht="12.75" customHeight="1">
      <c r="A2" s="9" t="s">
        <v>6</v>
      </c>
      <c r="B2" s="10">
        <v>0.0</v>
      </c>
      <c r="C2" s="14" t="s">
        <v>9</v>
      </c>
      <c r="D2" s="1" t="s">
        <v>7</v>
      </c>
      <c r="E2" s="10">
        <v>11.0</v>
      </c>
      <c r="F2" s="14" t="s">
        <v>9</v>
      </c>
      <c r="G2" s="5" t="s">
        <v>8</v>
      </c>
      <c r="H2" s="10" t="s">
        <v>345</v>
      </c>
      <c r="I2" s="14"/>
      <c r="J2" s="9" t="s">
        <v>10</v>
      </c>
      <c r="K2" s="10">
        <v>22.0</v>
      </c>
      <c r="L2" s="14" t="s">
        <v>9</v>
      </c>
      <c r="M2" s="5" t="s">
        <v>11</v>
      </c>
      <c r="N2" s="10" t="s">
        <v>345</v>
      </c>
      <c r="O2" s="14"/>
      <c r="P2" s="9" t="s">
        <v>12</v>
      </c>
      <c r="Q2" s="10">
        <v>7.0</v>
      </c>
      <c r="R2" s="14" t="s">
        <v>9</v>
      </c>
      <c r="S2" s="5" t="s">
        <v>13</v>
      </c>
      <c r="T2" s="9"/>
      <c r="U2" s="9"/>
      <c r="V2" s="100" t="s">
        <v>160</v>
      </c>
      <c r="W2" s="101">
        <v>14.0</v>
      </c>
      <c r="X2" s="100"/>
      <c r="Y2" s="100" t="s">
        <v>152</v>
      </c>
      <c r="Z2" s="101">
        <v>9.0</v>
      </c>
    </row>
    <row r="3" ht="12.75" customHeight="1">
      <c r="A3" s="9"/>
      <c r="B3" s="10" t="s">
        <v>345</v>
      </c>
      <c r="C3" s="14"/>
      <c r="D3" s="9" t="s">
        <v>14</v>
      </c>
      <c r="E3" s="10" t="s">
        <v>345</v>
      </c>
      <c r="F3" s="14"/>
      <c r="G3" s="12" t="s">
        <v>15</v>
      </c>
      <c r="H3" s="10" t="s">
        <v>345</v>
      </c>
      <c r="I3" s="14"/>
      <c r="J3" s="9" t="s">
        <v>16</v>
      </c>
      <c r="K3" s="10" t="s">
        <v>345</v>
      </c>
      <c r="L3" s="14"/>
      <c r="M3" s="9" t="s">
        <v>17</v>
      </c>
      <c r="N3" s="10">
        <v>7.0</v>
      </c>
      <c r="O3" s="14" t="s">
        <v>9</v>
      </c>
      <c r="P3" s="1" t="s">
        <v>166</v>
      </c>
      <c r="Q3" s="10" t="s">
        <v>345</v>
      </c>
      <c r="R3" s="14"/>
      <c r="S3" s="9" t="s">
        <v>346</v>
      </c>
      <c r="T3" s="9"/>
      <c r="U3" s="9"/>
      <c r="V3" s="100" t="s">
        <v>172</v>
      </c>
      <c r="W3" s="101">
        <v>21.0</v>
      </c>
      <c r="X3" s="100"/>
      <c r="Y3" s="100" t="s">
        <v>170</v>
      </c>
      <c r="Z3" s="101">
        <v>18.0</v>
      </c>
    </row>
    <row r="4" ht="12.75" customHeight="1">
      <c r="A4" s="9"/>
      <c r="B4" s="10" t="s">
        <v>345</v>
      </c>
      <c r="C4" s="14"/>
      <c r="D4" s="12" t="s">
        <v>20</v>
      </c>
      <c r="E4" s="10" t="s">
        <v>345</v>
      </c>
      <c r="F4" s="14"/>
      <c r="G4" s="12" t="s">
        <v>165</v>
      </c>
      <c r="H4" s="10">
        <v>21.0</v>
      </c>
      <c r="I4" s="14" t="s">
        <v>9</v>
      </c>
      <c r="J4" s="5" t="s">
        <v>22</v>
      </c>
      <c r="K4" s="10" t="s">
        <v>345</v>
      </c>
      <c r="L4" s="14"/>
      <c r="M4" s="12" t="s">
        <v>23</v>
      </c>
      <c r="N4" s="10" t="s">
        <v>345</v>
      </c>
      <c r="O4" s="14"/>
      <c r="P4" s="9" t="s">
        <v>18</v>
      </c>
      <c r="Q4" s="10" t="s">
        <v>345</v>
      </c>
      <c r="R4" s="14"/>
      <c r="S4" s="12" t="s">
        <v>347</v>
      </c>
      <c r="T4" s="9"/>
      <c r="U4" s="9"/>
      <c r="V4" s="100" t="s">
        <v>37</v>
      </c>
      <c r="W4" s="101">
        <v>2.0</v>
      </c>
      <c r="X4" s="100"/>
      <c r="Y4" s="100" t="s">
        <v>176</v>
      </c>
      <c r="Z4" s="101">
        <v>0.0</v>
      </c>
    </row>
    <row r="5" ht="12.75" customHeight="1">
      <c r="A5" s="9"/>
      <c r="B5" s="10"/>
      <c r="C5" s="3"/>
      <c r="D5" s="9"/>
      <c r="E5" s="10"/>
      <c r="F5" s="3"/>
      <c r="G5" s="9"/>
      <c r="H5" s="10" t="s">
        <v>345</v>
      </c>
      <c r="I5" s="3"/>
      <c r="J5" s="9"/>
      <c r="K5" s="10"/>
      <c r="L5" s="3"/>
      <c r="M5" s="9"/>
      <c r="N5" s="10"/>
      <c r="O5" s="3"/>
      <c r="P5" s="9"/>
      <c r="Q5" s="10"/>
      <c r="R5" s="3"/>
      <c r="S5" s="9"/>
      <c r="T5" s="9"/>
      <c r="U5" s="9"/>
      <c r="V5" s="100" t="s">
        <v>196</v>
      </c>
      <c r="W5" s="101">
        <v>12.0</v>
      </c>
      <c r="X5" s="100"/>
      <c r="Y5" s="100" t="s">
        <v>194</v>
      </c>
      <c r="Z5" s="101">
        <v>0.0</v>
      </c>
    </row>
    <row r="6" ht="12.75" customHeight="1">
      <c r="A6" s="9" t="s">
        <v>26</v>
      </c>
      <c r="B6" s="10">
        <v>12.0</v>
      </c>
      <c r="C6" s="14" t="s">
        <v>9</v>
      </c>
      <c r="D6" s="1" t="s">
        <v>27</v>
      </c>
      <c r="E6" s="10">
        <v>18.0</v>
      </c>
      <c r="F6" s="14" t="s">
        <v>9</v>
      </c>
      <c r="G6" s="1" t="s">
        <v>28</v>
      </c>
      <c r="H6" s="10">
        <v>0.0</v>
      </c>
      <c r="I6" s="14" t="s">
        <v>9</v>
      </c>
      <c r="J6" s="5" t="s">
        <v>29</v>
      </c>
      <c r="K6" s="10">
        <v>2.0</v>
      </c>
      <c r="L6" s="14" t="s">
        <v>9</v>
      </c>
      <c r="M6" s="5" t="s">
        <v>30</v>
      </c>
      <c r="N6" s="10" t="s">
        <v>345</v>
      </c>
      <c r="O6" s="14"/>
      <c r="P6" s="9" t="s">
        <v>31</v>
      </c>
      <c r="Q6" s="10" t="s">
        <v>345</v>
      </c>
      <c r="R6" s="14"/>
      <c r="S6" s="12" t="s">
        <v>32</v>
      </c>
      <c r="T6" s="9"/>
      <c r="U6" s="9"/>
      <c r="V6" s="100" t="s">
        <v>208</v>
      </c>
      <c r="W6" s="101">
        <v>2.0</v>
      </c>
      <c r="X6" s="100"/>
      <c r="Y6" s="100" t="s">
        <v>200</v>
      </c>
      <c r="Z6" s="101">
        <v>0.0</v>
      </c>
    </row>
    <row r="7" ht="12.75" customHeight="1">
      <c r="A7" s="9"/>
      <c r="B7" s="10" t="s">
        <v>345</v>
      </c>
      <c r="C7" s="14"/>
      <c r="D7" s="12" t="s">
        <v>33</v>
      </c>
      <c r="E7" s="10">
        <v>9.0</v>
      </c>
      <c r="F7" s="14" t="s">
        <v>9</v>
      </c>
      <c r="G7" s="5" t="s">
        <v>34</v>
      </c>
      <c r="H7" s="10">
        <v>0.0</v>
      </c>
      <c r="I7" s="14" t="s">
        <v>9</v>
      </c>
      <c r="J7" s="5" t="s">
        <v>35</v>
      </c>
      <c r="K7" s="10" t="s">
        <v>345</v>
      </c>
      <c r="L7" s="14"/>
      <c r="M7" s="9" t="s">
        <v>36</v>
      </c>
      <c r="N7" s="10" t="s">
        <v>345</v>
      </c>
      <c r="O7" s="14"/>
      <c r="P7" s="9" t="s">
        <v>348</v>
      </c>
      <c r="Q7" s="10" t="s">
        <v>345</v>
      </c>
      <c r="R7" s="14"/>
      <c r="S7" s="12" t="s">
        <v>38</v>
      </c>
      <c r="T7" s="9"/>
      <c r="U7" s="9"/>
      <c r="V7" s="100" t="s">
        <v>220</v>
      </c>
      <c r="W7" s="101">
        <v>0.0</v>
      </c>
      <c r="X7" s="100"/>
      <c r="Y7" s="100" t="s">
        <v>218</v>
      </c>
      <c r="Z7" s="101">
        <v>14.0</v>
      </c>
    </row>
    <row r="8" ht="12.75" customHeight="1">
      <c r="A8" s="9"/>
      <c r="B8" s="10">
        <v>6.0</v>
      </c>
      <c r="C8" s="14" t="s">
        <v>9</v>
      </c>
      <c r="D8" s="5" t="s">
        <v>39</v>
      </c>
      <c r="E8" s="10" t="s">
        <v>345</v>
      </c>
      <c r="F8" s="14"/>
      <c r="G8" s="9" t="s">
        <v>351</v>
      </c>
      <c r="H8" s="10" t="s">
        <v>345</v>
      </c>
      <c r="I8" s="14"/>
      <c r="J8" s="9" t="s">
        <v>352</v>
      </c>
      <c r="K8" s="10">
        <v>0.0</v>
      </c>
      <c r="L8" s="14" t="s">
        <v>9</v>
      </c>
      <c r="M8" s="5" t="s">
        <v>42</v>
      </c>
      <c r="N8" s="10">
        <v>12.0</v>
      </c>
      <c r="O8" s="14" t="s">
        <v>9</v>
      </c>
      <c r="P8" s="15" t="s">
        <v>43</v>
      </c>
      <c r="Q8" s="10">
        <v>20.0</v>
      </c>
      <c r="R8" s="14" t="s">
        <v>9</v>
      </c>
      <c r="S8" s="5" t="s">
        <v>372</v>
      </c>
      <c r="T8" s="9"/>
      <c r="U8" s="9"/>
      <c r="V8" s="100" t="s">
        <v>238</v>
      </c>
      <c r="W8" s="101">
        <v>0.0</v>
      </c>
      <c r="X8" s="100"/>
      <c r="Y8" s="100" t="s">
        <v>242</v>
      </c>
      <c r="Z8" s="101">
        <v>0.0</v>
      </c>
    </row>
    <row r="9" ht="12.75" customHeight="1">
      <c r="A9" s="9"/>
      <c r="B9" s="10" t="s">
        <v>345</v>
      </c>
      <c r="C9" s="14"/>
      <c r="D9" s="12" t="s">
        <v>45</v>
      </c>
      <c r="E9" s="10" t="s">
        <v>345</v>
      </c>
      <c r="F9" s="14"/>
      <c r="G9" s="12" t="s">
        <v>46</v>
      </c>
      <c r="H9" s="10" t="s">
        <v>345</v>
      </c>
      <c r="I9" s="14"/>
      <c r="J9" s="12" t="s">
        <v>41</v>
      </c>
      <c r="K9" s="10" t="s">
        <v>345</v>
      </c>
      <c r="L9" s="14"/>
      <c r="M9" s="12" t="s">
        <v>48</v>
      </c>
      <c r="N9" s="10">
        <v>8.0</v>
      </c>
      <c r="O9" s="14" t="s">
        <v>9</v>
      </c>
      <c r="P9" s="15" t="s">
        <v>373</v>
      </c>
      <c r="Q9" s="10">
        <v>4.0</v>
      </c>
      <c r="R9" s="14" t="s">
        <v>9</v>
      </c>
      <c r="S9" s="5" t="s">
        <v>50</v>
      </c>
      <c r="T9" s="9"/>
      <c r="U9" s="9"/>
      <c r="V9" s="100" t="s">
        <v>250</v>
      </c>
      <c r="W9" s="101">
        <v>0.0</v>
      </c>
      <c r="X9" s="100"/>
      <c r="Y9" s="100" t="s">
        <v>248</v>
      </c>
      <c r="Z9" s="101">
        <v>8.0</v>
      </c>
    </row>
    <row r="10" ht="12.75" customHeight="1">
      <c r="A10" s="9"/>
      <c r="B10" s="10"/>
      <c r="C10" s="3"/>
      <c r="D10" s="9"/>
      <c r="E10" s="10"/>
      <c r="F10" s="3"/>
      <c r="G10" s="9"/>
      <c r="H10" s="10" t="s">
        <v>345</v>
      </c>
      <c r="I10" s="3"/>
      <c r="J10" s="9"/>
      <c r="K10" s="10"/>
      <c r="L10" s="3"/>
      <c r="M10" s="9"/>
      <c r="N10" s="10"/>
      <c r="O10" s="3"/>
      <c r="P10" s="9"/>
      <c r="Q10" s="10"/>
      <c r="R10" s="3"/>
      <c r="S10" s="9"/>
      <c r="T10" s="9"/>
      <c r="U10" s="9"/>
      <c r="V10" s="100" t="s">
        <v>268</v>
      </c>
      <c r="W10" s="101">
        <v>0.0</v>
      </c>
      <c r="X10" s="100"/>
      <c r="Y10" s="100" t="s">
        <v>260</v>
      </c>
      <c r="Z10" s="101">
        <v>4.0</v>
      </c>
    </row>
    <row r="11" ht="12.75" customHeight="1">
      <c r="A11" s="9" t="s">
        <v>51</v>
      </c>
      <c r="B11" s="10">
        <v>2.0</v>
      </c>
      <c r="C11" s="14" t="s">
        <v>9</v>
      </c>
      <c r="D11" s="1" t="s">
        <v>52</v>
      </c>
      <c r="E11" s="10">
        <v>0.0</v>
      </c>
      <c r="F11" s="14" t="s">
        <v>9</v>
      </c>
      <c r="G11" s="1" t="s">
        <v>53</v>
      </c>
      <c r="H11" s="10">
        <v>11.0</v>
      </c>
      <c r="I11" s="14" t="s">
        <v>9</v>
      </c>
      <c r="J11" s="1" t="s">
        <v>54</v>
      </c>
      <c r="K11" s="10" t="s">
        <v>345</v>
      </c>
      <c r="L11" s="14"/>
      <c r="M11" s="12" t="s">
        <v>55</v>
      </c>
      <c r="N11" s="10">
        <v>8.0</v>
      </c>
      <c r="O11" s="14" t="s">
        <v>9</v>
      </c>
      <c r="P11" s="1" t="s">
        <v>56</v>
      </c>
      <c r="Q11" s="10">
        <v>9.0</v>
      </c>
      <c r="R11" s="14" t="s">
        <v>9</v>
      </c>
      <c r="S11" s="5" t="s">
        <v>57</v>
      </c>
      <c r="T11" s="9"/>
      <c r="U11" s="9"/>
      <c r="V11" s="100"/>
      <c r="W11" s="101">
        <v>51.0</v>
      </c>
      <c r="X11" s="100"/>
      <c r="Y11" s="100"/>
      <c r="Z11" s="101">
        <v>53.0</v>
      </c>
    </row>
    <row r="12" ht="12.75" customHeight="1">
      <c r="A12" s="9"/>
      <c r="B12" s="10" t="s">
        <v>345</v>
      </c>
      <c r="C12" s="14"/>
      <c r="D12" s="9" t="s">
        <v>58</v>
      </c>
      <c r="E12" s="10" t="s">
        <v>345</v>
      </c>
      <c r="F12" s="14"/>
      <c r="G12" s="9" t="s">
        <v>59</v>
      </c>
      <c r="H12" s="10" t="s">
        <v>345</v>
      </c>
      <c r="I12" s="14"/>
      <c r="J12" s="12" t="s">
        <v>60</v>
      </c>
      <c r="K12" s="10">
        <v>4.0</v>
      </c>
      <c r="L12" s="14" t="s">
        <v>9</v>
      </c>
      <c r="M12" s="1" t="s">
        <v>61</v>
      </c>
      <c r="N12" s="10">
        <v>0.0</v>
      </c>
      <c r="O12" s="14" t="s">
        <v>9</v>
      </c>
      <c r="P12" s="1" t="s">
        <v>62</v>
      </c>
      <c r="Q12" s="10">
        <v>12.0</v>
      </c>
      <c r="R12" s="14" t="s">
        <v>9</v>
      </c>
      <c r="S12" s="1" t="s">
        <v>63</v>
      </c>
      <c r="T12" s="9"/>
      <c r="U12" s="9"/>
      <c r="V12" s="100"/>
      <c r="W12" s="101"/>
      <c r="X12" s="100"/>
      <c r="Y12" s="100"/>
      <c r="Z12" s="101"/>
    </row>
    <row r="13" ht="12.75" customHeight="1">
      <c r="A13" s="9"/>
      <c r="B13" s="10">
        <v>18.0</v>
      </c>
      <c r="C13" s="14" t="s">
        <v>9</v>
      </c>
      <c r="D13" s="5" t="s">
        <v>64</v>
      </c>
      <c r="E13" s="10" t="s">
        <v>345</v>
      </c>
      <c r="F13" s="14"/>
      <c r="G13" s="12" t="s">
        <v>354</v>
      </c>
      <c r="H13" s="10">
        <v>4.0</v>
      </c>
      <c r="I13" s="14" t="s">
        <v>9</v>
      </c>
      <c r="J13" s="5" t="s">
        <v>66</v>
      </c>
      <c r="K13" s="10" t="s">
        <v>345</v>
      </c>
      <c r="L13" s="14"/>
      <c r="M13" s="9" t="s">
        <v>67</v>
      </c>
      <c r="N13" s="10" t="s">
        <v>345</v>
      </c>
      <c r="O13" s="14"/>
      <c r="P13" s="9" t="s">
        <v>355</v>
      </c>
      <c r="Q13" s="10" t="s">
        <v>345</v>
      </c>
      <c r="R13" s="14"/>
      <c r="S13" s="17" t="s">
        <v>69</v>
      </c>
      <c r="T13" s="9"/>
      <c r="U13" s="9"/>
      <c r="V13" s="98" t="s">
        <v>322</v>
      </c>
      <c r="W13" s="99"/>
      <c r="X13" s="98"/>
      <c r="Y13" s="98" t="s">
        <v>328</v>
      </c>
      <c r="Z13" s="99"/>
    </row>
    <row r="14" ht="12.75" customHeight="1">
      <c r="A14" s="9"/>
      <c r="B14" s="10" t="s">
        <v>345</v>
      </c>
      <c r="C14" s="14"/>
      <c r="D14" s="12" t="s">
        <v>356</v>
      </c>
      <c r="E14" s="10">
        <v>0.0</v>
      </c>
      <c r="F14" s="14" t="s">
        <v>9</v>
      </c>
      <c r="G14" s="5" t="s">
        <v>71</v>
      </c>
      <c r="H14" s="10" t="s">
        <v>345</v>
      </c>
      <c r="I14" s="14"/>
      <c r="J14" s="12" t="s">
        <v>72</v>
      </c>
      <c r="K14" s="10">
        <v>0.0</v>
      </c>
      <c r="L14" s="14" t="s">
        <v>9</v>
      </c>
      <c r="M14" s="5" t="s">
        <v>73</v>
      </c>
      <c r="N14" s="10" t="s">
        <v>345</v>
      </c>
      <c r="O14" s="14"/>
      <c r="P14" s="12" t="s">
        <v>350</v>
      </c>
      <c r="Q14" s="10" t="s">
        <v>345</v>
      </c>
      <c r="R14" s="14"/>
      <c r="S14" s="12" t="s">
        <v>75</v>
      </c>
      <c r="T14" s="9"/>
      <c r="U14" s="9"/>
      <c r="V14" s="100" t="s">
        <v>166</v>
      </c>
      <c r="W14" s="101">
        <v>7.0</v>
      </c>
      <c r="X14" s="100"/>
      <c r="Y14" s="100" t="s">
        <v>155</v>
      </c>
      <c r="Z14" s="101">
        <v>21.0</v>
      </c>
    </row>
    <row r="15" ht="12.75" customHeight="1">
      <c r="A15" s="9"/>
      <c r="B15" s="10"/>
      <c r="C15" s="3"/>
      <c r="D15" s="9"/>
      <c r="E15" s="10"/>
      <c r="F15" s="3"/>
      <c r="G15" s="9"/>
      <c r="H15" s="10" t="s">
        <v>345</v>
      </c>
      <c r="I15" s="3"/>
      <c r="J15" s="9"/>
      <c r="K15" s="10"/>
      <c r="L15" s="3"/>
      <c r="M15" s="9"/>
      <c r="N15" s="10"/>
      <c r="O15" s="3"/>
      <c r="P15" s="9"/>
      <c r="Q15" s="10"/>
      <c r="R15" s="3"/>
      <c r="S15" s="9"/>
      <c r="T15" s="9"/>
      <c r="U15" s="9"/>
      <c r="V15" s="100" t="s">
        <v>43</v>
      </c>
      <c r="W15" s="101">
        <v>12.0</v>
      </c>
      <c r="X15" s="100"/>
      <c r="Y15" s="100" t="s">
        <v>173</v>
      </c>
      <c r="Z15" s="101">
        <v>3.0</v>
      </c>
    </row>
    <row r="16" ht="12.75" customHeight="1">
      <c r="A16" s="9" t="s">
        <v>76</v>
      </c>
      <c r="B16" s="10">
        <v>0.0</v>
      </c>
      <c r="C16" s="14" t="s">
        <v>9</v>
      </c>
      <c r="D16" s="1" t="s">
        <v>357</v>
      </c>
      <c r="E16" s="10">
        <v>0.0</v>
      </c>
      <c r="F16" s="14" t="s">
        <v>9</v>
      </c>
      <c r="G16" s="5" t="s">
        <v>78</v>
      </c>
      <c r="H16" s="10" t="s">
        <v>345</v>
      </c>
      <c r="I16" s="14"/>
      <c r="J16" s="9" t="s">
        <v>79</v>
      </c>
      <c r="K16" s="10" t="s">
        <v>345</v>
      </c>
      <c r="L16" s="14"/>
      <c r="M16" s="9" t="s">
        <v>86</v>
      </c>
      <c r="N16" s="10">
        <v>0.0</v>
      </c>
      <c r="O16" s="14" t="s">
        <v>9</v>
      </c>
      <c r="P16" s="5" t="s">
        <v>81</v>
      </c>
      <c r="Q16" s="10" t="s">
        <v>345</v>
      </c>
      <c r="R16" s="14"/>
      <c r="S16" s="9" t="s">
        <v>80</v>
      </c>
      <c r="T16" s="9"/>
      <c r="U16" s="9"/>
      <c r="V16" s="100" t="s">
        <v>373</v>
      </c>
      <c r="W16" s="101">
        <v>8.0</v>
      </c>
      <c r="X16" s="100"/>
      <c r="Y16" s="100" t="s">
        <v>191</v>
      </c>
      <c r="Z16" s="101">
        <v>6.0</v>
      </c>
    </row>
    <row r="17" ht="12.75" customHeight="1">
      <c r="A17" s="9"/>
      <c r="B17" s="10" t="s">
        <v>345</v>
      </c>
      <c r="C17" s="14"/>
      <c r="D17" s="12" t="s">
        <v>77</v>
      </c>
      <c r="E17" s="10" t="s">
        <v>345</v>
      </c>
      <c r="F17" s="14"/>
      <c r="G17" s="9" t="s">
        <v>358</v>
      </c>
      <c r="H17" s="10" t="s">
        <v>345</v>
      </c>
      <c r="I17" s="14"/>
      <c r="J17" s="9" t="s">
        <v>85</v>
      </c>
      <c r="K17" s="10" t="s">
        <v>345</v>
      </c>
      <c r="L17" s="14"/>
      <c r="M17" s="12" t="s">
        <v>88</v>
      </c>
      <c r="N17" s="10" t="s">
        <v>345</v>
      </c>
      <c r="O17" s="14"/>
      <c r="P17" s="9" t="s">
        <v>90</v>
      </c>
      <c r="Q17" s="10">
        <v>12.0</v>
      </c>
      <c r="R17" s="14" t="s">
        <v>9</v>
      </c>
      <c r="S17" s="5" t="s">
        <v>82</v>
      </c>
      <c r="T17" s="9"/>
      <c r="U17" s="9"/>
      <c r="V17" s="100" t="s">
        <v>56</v>
      </c>
      <c r="W17" s="101">
        <v>8.0</v>
      </c>
      <c r="X17" s="100"/>
      <c r="Y17" s="100" t="s">
        <v>203</v>
      </c>
      <c r="Z17" s="101">
        <v>9.0</v>
      </c>
    </row>
    <row r="18" ht="12.75" customHeight="1">
      <c r="A18" s="9"/>
      <c r="B18" s="10" t="s">
        <v>345</v>
      </c>
      <c r="C18" s="14"/>
      <c r="D18" s="12" t="s">
        <v>93</v>
      </c>
      <c r="E18" s="10" t="s">
        <v>345</v>
      </c>
      <c r="F18" s="14"/>
      <c r="G18" s="12" t="s">
        <v>359</v>
      </c>
      <c r="H18" s="10">
        <v>8.0</v>
      </c>
      <c r="I18" s="14" t="s">
        <v>9</v>
      </c>
      <c r="J18" s="5" t="s">
        <v>91</v>
      </c>
      <c r="K18" s="10">
        <v>8.0</v>
      </c>
      <c r="L18" s="14" t="s">
        <v>9</v>
      </c>
      <c r="M18" s="1" t="s">
        <v>92</v>
      </c>
      <c r="N18" s="10" t="s">
        <v>345</v>
      </c>
      <c r="O18" s="14"/>
      <c r="P18" s="12" t="s">
        <v>87</v>
      </c>
      <c r="Q18" s="10" t="s">
        <v>345</v>
      </c>
      <c r="R18" s="14"/>
      <c r="S18" s="12" t="s">
        <v>94</v>
      </c>
      <c r="T18" s="9"/>
      <c r="U18" s="9"/>
      <c r="V18" s="100" t="s">
        <v>62</v>
      </c>
      <c r="W18" s="101">
        <v>0.0</v>
      </c>
      <c r="X18" s="100"/>
      <c r="Y18" s="100" t="s">
        <v>209</v>
      </c>
      <c r="Z18" s="101">
        <v>0.0</v>
      </c>
    </row>
    <row r="19" ht="12.75" customHeight="1">
      <c r="A19" s="9"/>
      <c r="B19" s="10"/>
      <c r="C19" s="3"/>
      <c r="D19" s="9"/>
      <c r="E19" s="10"/>
      <c r="F19" s="3"/>
      <c r="G19" s="9"/>
      <c r="H19" s="10" t="s">
        <v>345</v>
      </c>
      <c r="I19" s="3"/>
      <c r="J19" s="9" t="s">
        <v>95</v>
      </c>
      <c r="K19" s="10"/>
      <c r="L19" s="3"/>
      <c r="M19" s="9"/>
      <c r="N19" s="10"/>
      <c r="O19" s="3"/>
      <c r="P19" s="9"/>
      <c r="Q19" s="10"/>
      <c r="R19" s="3"/>
      <c r="S19" s="9"/>
      <c r="T19" s="9"/>
      <c r="U19" s="9"/>
      <c r="V19" s="100" t="s">
        <v>81</v>
      </c>
      <c r="W19" s="101">
        <v>0.0</v>
      </c>
      <c r="X19" s="100"/>
      <c r="Y19" s="100" t="s">
        <v>233</v>
      </c>
      <c r="Z19" s="101">
        <v>0.0</v>
      </c>
    </row>
    <row r="20" ht="12.75" customHeight="1">
      <c r="A20" s="9" t="s">
        <v>96</v>
      </c>
      <c r="B20" s="10" t="s">
        <v>345</v>
      </c>
      <c r="C20" s="14"/>
      <c r="D20" s="12" t="s">
        <v>97</v>
      </c>
      <c r="E20" s="10">
        <v>13.0</v>
      </c>
      <c r="F20" s="14" t="s">
        <v>9</v>
      </c>
      <c r="G20" s="5" t="s">
        <v>98</v>
      </c>
      <c r="H20" s="10">
        <v>6.0</v>
      </c>
      <c r="I20" s="14" t="s">
        <v>9</v>
      </c>
      <c r="J20" s="1" t="s">
        <v>99</v>
      </c>
      <c r="K20" s="10">
        <v>7.0</v>
      </c>
      <c r="L20" s="14" t="s">
        <v>9</v>
      </c>
      <c r="M20" s="5" t="s">
        <v>100</v>
      </c>
      <c r="N20" s="10" t="s">
        <v>345</v>
      </c>
      <c r="O20" s="14"/>
      <c r="P20" s="9" t="s">
        <v>360</v>
      </c>
      <c r="Q20" s="10" t="s">
        <v>345</v>
      </c>
      <c r="R20" s="14"/>
      <c r="S20" s="12" t="s">
        <v>361</v>
      </c>
      <c r="T20" s="9"/>
      <c r="U20" s="9"/>
      <c r="V20" s="100" t="s">
        <v>101</v>
      </c>
      <c r="W20" s="101">
        <v>0.0</v>
      </c>
      <c r="X20" s="100"/>
      <c r="Y20" s="100" t="s">
        <v>239</v>
      </c>
      <c r="Z20" s="101">
        <v>6.0</v>
      </c>
    </row>
    <row r="21" ht="12.75" customHeight="1">
      <c r="A21" s="9"/>
      <c r="B21" s="10">
        <v>11.0</v>
      </c>
      <c r="C21" s="14" t="s">
        <v>9</v>
      </c>
      <c r="D21" s="1" t="s">
        <v>103</v>
      </c>
      <c r="E21" s="10" t="s">
        <v>345</v>
      </c>
      <c r="F21" s="14"/>
      <c r="G21" s="12" t="s">
        <v>104</v>
      </c>
      <c r="H21" s="10" t="s">
        <v>345</v>
      </c>
      <c r="I21" s="14"/>
      <c r="J21" s="9" t="s">
        <v>105</v>
      </c>
      <c r="K21" s="10" t="s">
        <v>345</v>
      </c>
      <c r="L21" s="14"/>
      <c r="M21" s="9" t="s">
        <v>106</v>
      </c>
      <c r="N21" s="10">
        <v>0.0</v>
      </c>
      <c r="O21" s="14" t="s">
        <v>9</v>
      </c>
      <c r="P21" s="1" t="s">
        <v>101</v>
      </c>
      <c r="Q21" s="10">
        <v>0.0</v>
      </c>
      <c r="R21" s="14" t="s">
        <v>9</v>
      </c>
      <c r="S21" s="1" t="s">
        <v>102</v>
      </c>
      <c r="T21" s="9"/>
      <c r="U21" s="9"/>
      <c r="V21" s="100" t="s">
        <v>114</v>
      </c>
      <c r="W21" s="101">
        <v>11.0</v>
      </c>
      <c r="X21" s="100"/>
      <c r="Y21" s="100" t="s">
        <v>257</v>
      </c>
      <c r="Z21" s="101">
        <v>22.0</v>
      </c>
    </row>
    <row r="22" ht="12.75" customHeight="1">
      <c r="A22" s="9"/>
      <c r="B22" s="10"/>
      <c r="C22" s="3"/>
      <c r="D22" s="9"/>
      <c r="E22" s="10"/>
      <c r="F22" s="3"/>
      <c r="G22" s="9"/>
      <c r="H22" s="10" t="s">
        <v>345</v>
      </c>
      <c r="I22" s="3"/>
      <c r="J22" s="9"/>
      <c r="K22" s="10"/>
      <c r="L22" s="3"/>
      <c r="M22" s="9"/>
      <c r="N22" s="10"/>
      <c r="O22" s="3"/>
      <c r="P22" s="9"/>
      <c r="Q22" s="10"/>
      <c r="R22" s="3"/>
      <c r="S22" s="9"/>
      <c r="T22" s="9"/>
      <c r="U22" s="9"/>
      <c r="V22" s="100" t="s">
        <v>133</v>
      </c>
      <c r="W22" s="101">
        <v>5.0</v>
      </c>
      <c r="X22" s="100"/>
      <c r="Y22" s="100" t="s">
        <v>269</v>
      </c>
      <c r="Z22" s="101">
        <v>0.0</v>
      </c>
    </row>
    <row r="23" ht="12.75" customHeight="1">
      <c r="A23" s="9" t="s">
        <v>109</v>
      </c>
      <c r="B23" s="10" t="s">
        <v>345</v>
      </c>
      <c r="C23" s="14"/>
      <c r="D23" s="9" t="s">
        <v>110</v>
      </c>
      <c r="E23" s="10">
        <v>16.0</v>
      </c>
      <c r="F23" s="14" t="s">
        <v>9</v>
      </c>
      <c r="G23" s="5" t="s">
        <v>111</v>
      </c>
      <c r="H23" s="10" t="s">
        <v>345</v>
      </c>
      <c r="I23" s="14"/>
      <c r="J23" s="9" t="s">
        <v>112</v>
      </c>
      <c r="K23" s="10">
        <v>13.0</v>
      </c>
      <c r="L23" s="14" t="s">
        <v>9</v>
      </c>
      <c r="M23" s="1" t="s">
        <v>113</v>
      </c>
      <c r="N23" s="10">
        <v>11.0</v>
      </c>
      <c r="O23" s="14" t="s">
        <v>9</v>
      </c>
      <c r="P23" s="1" t="s">
        <v>114</v>
      </c>
      <c r="Q23" s="10" t="s">
        <v>345</v>
      </c>
      <c r="R23" s="14"/>
      <c r="S23" s="12" t="s">
        <v>115</v>
      </c>
      <c r="T23" s="9"/>
      <c r="U23" s="9"/>
      <c r="V23" s="100"/>
      <c r="W23" s="101">
        <v>51.0</v>
      </c>
      <c r="X23" s="100"/>
      <c r="Y23" s="100"/>
      <c r="Z23" s="101">
        <v>67.0</v>
      </c>
    </row>
    <row r="24" ht="12.75" customHeight="1">
      <c r="A24" s="9"/>
      <c r="B24" s="10">
        <v>2.0</v>
      </c>
      <c r="C24" s="14" t="s">
        <v>9</v>
      </c>
      <c r="D24" s="1" t="s">
        <v>116</v>
      </c>
      <c r="E24" s="10" t="s">
        <v>345</v>
      </c>
      <c r="F24" s="14"/>
      <c r="G24" s="12" t="s">
        <v>117</v>
      </c>
      <c r="H24" s="10">
        <v>14.0</v>
      </c>
      <c r="I24" s="14" t="s">
        <v>9</v>
      </c>
      <c r="J24" s="1" t="s">
        <v>118</v>
      </c>
      <c r="K24" s="10" t="s">
        <v>345</v>
      </c>
      <c r="L24" s="14"/>
      <c r="M24" s="12" t="s">
        <v>121</v>
      </c>
      <c r="N24" s="10" t="s">
        <v>345</v>
      </c>
      <c r="O24" s="14"/>
      <c r="P24" s="9" t="s">
        <v>120</v>
      </c>
      <c r="Q24" s="10">
        <v>6.0</v>
      </c>
      <c r="R24" s="14" t="s">
        <v>9</v>
      </c>
      <c r="S24" s="5" t="s">
        <v>362</v>
      </c>
      <c r="T24" s="9"/>
      <c r="U24" s="9"/>
      <c r="V24" s="100"/>
      <c r="W24" s="101"/>
      <c r="X24" s="100"/>
      <c r="Y24" s="100"/>
      <c r="Z24" s="101"/>
    </row>
    <row r="25" ht="12.75" customHeight="1">
      <c r="A25" s="9"/>
      <c r="B25" s="10"/>
      <c r="C25" s="3"/>
      <c r="D25" s="9"/>
      <c r="E25" s="10"/>
      <c r="F25" s="3"/>
      <c r="G25" s="9"/>
      <c r="H25" s="10" t="s">
        <v>345</v>
      </c>
      <c r="I25" s="3"/>
      <c r="J25" s="9"/>
      <c r="K25" s="10"/>
      <c r="L25" s="3"/>
      <c r="M25" s="9"/>
      <c r="N25" s="10"/>
      <c r="O25" s="3"/>
      <c r="P25" s="9"/>
      <c r="Q25" s="10"/>
      <c r="R25" s="3"/>
      <c r="S25" s="9"/>
      <c r="T25" s="9"/>
      <c r="U25" s="9"/>
      <c r="V25" s="98" t="s">
        <v>319</v>
      </c>
      <c r="W25" s="99"/>
      <c r="X25" s="98"/>
      <c r="Y25" s="98" t="s">
        <v>329</v>
      </c>
      <c r="Z25" s="99"/>
    </row>
    <row r="26" ht="12.75" customHeight="1">
      <c r="A26" s="9" t="s">
        <v>122</v>
      </c>
      <c r="B26" s="10">
        <v>5.0</v>
      </c>
      <c r="C26" s="14" t="s">
        <v>9</v>
      </c>
      <c r="D26" s="5" t="s">
        <v>123</v>
      </c>
      <c r="E26" s="10">
        <v>4.0</v>
      </c>
      <c r="F26" s="14" t="s">
        <v>9</v>
      </c>
      <c r="G26" s="5" t="s">
        <v>124</v>
      </c>
      <c r="H26" s="10" t="s">
        <v>345</v>
      </c>
      <c r="I26" s="14"/>
      <c r="J26" s="9" t="s">
        <v>125</v>
      </c>
      <c r="K26" s="10">
        <v>4.0</v>
      </c>
      <c r="L26" s="14" t="s">
        <v>9</v>
      </c>
      <c r="M26" s="1" t="s">
        <v>126</v>
      </c>
      <c r="N26" s="10" t="s">
        <v>345</v>
      </c>
      <c r="O26" s="14"/>
      <c r="P26" s="9" t="s">
        <v>127</v>
      </c>
      <c r="Q26" s="10">
        <v>0.0</v>
      </c>
      <c r="R26" s="14" t="s">
        <v>9</v>
      </c>
      <c r="S26" s="5" t="s">
        <v>128</v>
      </c>
      <c r="T26" s="9"/>
      <c r="U26" s="9"/>
      <c r="V26" s="100" t="s">
        <v>8</v>
      </c>
      <c r="W26" s="101">
        <v>11.0</v>
      </c>
      <c r="X26" s="100"/>
      <c r="Y26" s="100" t="s">
        <v>162</v>
      </c>
      <c r="Z26" s="101">
        <v>6.0</v>
      </c>
    </row>
    <row r="27" ht="12.75" customHeight="1">
      <c r="A27" s="9"/>
      <c r="B27" s="10" t="s">
        <v>345</v>
      </c>
      <c r="C27" s="14"/>
      <c r="D27" s="9" t="s">
        <v>129</v>
      </c>
      <c r="E27" s="10" t="s">
        <v>345</v>
      </c>
      <c r="F27" s="14"/>
      <c r="G27" s="9" t="s">
        <v>130</v>
      </c>
      <c r="H27" s="10">
        <v>7.0</v>
      </c>
      <c r="I27" s="14" t="s">
        <v>9</v>
      </c>
      <c r="J27" s="5" t="s">
        <v>131</v>
      </c>
      <c r="K27" s="10" t="s">
        <v>345</v>
      </c>
      <c r="L27" s="14"/>
      <c r="M27" s="9" t="s">
        <v>132</v>
      </c>
      <c r="N27" s="10">
        <v>5.0</v>
      </c>
      <c r="O27" s="14" t="s">
        <v>9</v>
      </c>
      <c r="P27" s="5" t="s">
        <v>133</v>
      </c>
      <c r="Q27" s="10" t="s">
        <v>345</v>
      </c>
      <c r="R27" s="14"/>
      <c r="S27" s="9" t="s">
        <v>134</v>
      </c>
      <c r="T27" s="9"/>
      <c r="U27" s="9"/>
      <c r="V27" s="100" t="s">
        <v>28</v>
      </c>
      <c r="W27" s="101">
        <v>18.0</v>
      </c>
      <c r="X27" s="100"/>
      <c r="Y27" s="100" t="s">
        <v>174</v>
      </c>
      <c r="Z27" s="101">
        <v>0.0</v>
      </c>
    </row>
    <row r="28" ht="12.75" customHeight="1">
      <c r="A28" s="9"/>
      <c r="B28" s="2"/>
      <c r="C28" s="3"/>
      <c r="D28" s="9"/>
      <c r="E28" s="10"/>
      <c r="F28" s="3"/>
      <c r="G28" s="9"/>
      <c r="H28" s="10"/>
      <c r="I28" s="3"/>
      <c r="J28" s="9"/>
      <c r="K28" s="10"/>
      <c r="L28" s="3"/>
      <c r="M28" s="9"/>
      <c r="N28" s="10"/>
      <c r="O28" s="3"/>
      <c r="P28" s="12" t="s">
        <v>95</v>
      </c>
      <c r="Q28" s="10"/>
      <c r="R28" s="3"/>
      <c r="S28" s="9"/>
      <c r="T28" s="9"/>
      <c r="U28" s="9"/>
      <c r="V28" s="100" t="s">
        <v>34</v>
      </c>
      <c r="W28" s="101">
        <v>9.0</v>
      </c>
      <c r="X28" s="100"/>
      <c r="Y28" s="100" t="s">
        <v>180</v>
      </c>
      <c r="Z28" s="101">
        <v>0.0</v>
      </c>
    </row>
    <row r="29" ht="12.75" customHeight="1">
      <c r="A29" s="19"/>
      <c r="B29" s="20"/>
      <c r="C29" s="21"/>
      <c r="D29" s="22">
        <v>56.0</v>
      </c>
      <c r="E29" s="20"/>
      <c r="F29" s="21"/>
      <c r="G29" s="22">
        <v>71.0</v>
      </c>
      <c r="H29" s="20"/>
      <c r="I29" s="21"/>
      <c r="J29" s="22">
        <v>71.0</v>
      </c>
      <c r="K29" s="20"/>
      <c r="L29" s="21"/>
      <c r="M29" s="22">
        <v>60.0</v>
      </c>
      <c r="N29" s="20"/>
      <c r="O29" s="21"/>
      <c r="P29" s="22">
        <v>51.0</v>
      </c>
      <c r="Q29" s="20"/>
      <c r="R29" s="21"/>
      <c r="S29" s="22">
        <v>70.0</v>
      </c>
      <c r="T29" s="19"/>
      <c r="U29" s="19"/>
      <c r="V29" s="100" t="s">
        <v>53</v>
      </c>
      <c r="W29" s="101">
        <v>0.0</v>
      </c>
      <c r="X29" s="100"/>
      <c r="Y29" s="100" t="s">
        <v>204</v>
      </c>
      <c r="Z29" s="101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6"/>
      <c r="S30" s="9"/>
      <c r="T30" s="9"/>
      <c r="U30" s="9"/>
      <c r="V30" s="100" t="s">
        <v>71</v>
      </c>
      <c r="W30" s="101">
        <v>0.0</v>
      </c>
      <c r="X30" s="100"/>
      <c r="Y30" s="100" t="s">
        <v>210</v>
      </c>
      <c r="Z30" s="101">
        <v>14.0</v>
      </c>
    </row>
    <row r="31" ht="12.75" customHeight="1">
      <c r="A31" s="9" t="s">
        <v>135</v>
      </c>
      <c r="B31" s="2"/>
      <c r="C31" s="3"/>
      <c r="D31" s="9" t="s">
        <v>136</v>
      </c>
      <c r="E31" s="2"/>
      <c r="F31" s="6"/>
      <c r="G31" s="9" t="s">
        <v>137</v>
      </c>
      <c r="H31" s="2"/>
      <c r="I31" s="6"/>
      <c r="J31" s="9" t="s">
        <v>138</v>
      </c>
      <c r="K31" s="2"/>
      <c r="L31" s="6"/>
      <c r="M31" s="9" t="s">
        <v>139</v>
      </c>
      <c r="N31" s="2"/>
      <c r="O31" s="6"/>
      <c r="P31" s="9" t="s">
        <v>140</v>
      </c>
      <c r="Q31" s="2"/>
      <c r="R31" s="6"/>
      <c r="S31" s="9" t="s">
        <v>141</v>
      </c>
      <c r="T31" s="9"/>
      <c r="U31" s="9"/>
      <c r="V31" s="100" t="s">
        <v>78</v>
      </c>
      <c r="W31" s="101">
        <v>0.0</v>
      </c>
      <c r="X31" s="100"/>
      <c r="Y31" s="100" t="s">
        <v>234</v>
      </c>
      <c r="Z31" s="101">
        <v>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142</v>
      </c>
      <c r="Q32" s="2"/>
      <c r="R32" s="6"/>
      <c r="S32" s="9"/>
      <c r="T32" s="9"/>
      <c r="U32" s="9"/>
      <c r="V32" s="100" t="s">
        <v>98</v>
      </c>
      <c r="W32" s="101">
        <v>13.0</v>
      </c>
      <c r="X32" s="100"/>
      <c r="Y32" s="100" t="s">
        <v>240</v>
      </c>
      <c r="Z32" s="101">
        <v>6.0</v>
      </c>
    </row>
    <row r="33" ht="12.75" customHeight="1">
      <c r="A33" s="9"/>
      <c r="B33" s="2"/>
      <c r="C33" s="3"/>
      <c r="D33" s="25"/>
      <c r="E33" s="26"/>
      <c r="F33" s="26"/>
      <c r="G33" s="25"/>
      <c r="H33" s="26"/>
      <c r="I33" s="26"/>
      <c r="J33" s="25"/>
      <c r="K33" s="25"/>
      <c r="L33" s="26"/>
      <c r="M33" s="25"/>
      <c r="P33" s="25"/>
      <c r="R33" s="3"/>
      <c r="S33" s="25"/>
      <c r="T33" s="6"/>
      <c r="U33" s="26"/>
      <c r="V33" s="103" t="s">
        <v>111</v>
      </c>
      <c r="W33" s="101">
        <v>16.0</v>
      </c>
      <c r="X33" s="100"/>
      <c r="Y33" s="100" t="s">
        <v>252</v>
      </c>
      <c r="Z33" s="101">
        <v>14.0</v>
      </c>
    </row>
    <row r="34" ht="12.75" customHeight="1">
      <c r="A34" s="9" t="s">
        <v>143</v>
      </c>
      <c r="B34" s="9"/>
      <c r="C34" s="3"/>
      <c r="D34" s="25"/>
      <c r="E34" s="26"/>
      <c r="F34" s="26"/>
      <c r="G34" s="25"/>
      <c r="H34" s="26"/>
      <c r="I34" s="26"/>
      <c r="J34" s="25"/>
      <c r="K34" s="25"/>
      <c r="L34" s="26"/>
      <c r="M34" s="25"/>
      <c r="P34" s="25"/>
      <c r="R34" s="3"/>
      <c r="S34" s="25"/>
      <c r="T34" s="6"/>
      <c r="U34" s="26"/>
      <c r="V34" s="103" t="s">
        <v>124</v>
      </c>
      <c r="W34" s="101">
        <v>4.0</v>
      </c>
      <c r="X34" s="100"/>
      <c r="Y34" s="100" t="s">
        <v>270</v>
      </c>
      <c r="Z34" s="101">
        <v>4.0</v>
      </c>
    </row>
    <row r="35" ht="12.75" customHeight="1">
      <c r="A35" s="9"/>
      <c r="B35" s="9"/>
      <c r="C35" s="3"/>
      <c r="D35" s="12"/>
      <c r="E35" s="26"/>
      <c r="F35" s="26"/>
      <c r="G35" s="12"/>
      <c r="H35" s="26"/>
      <c r="I35" s="26"/>
      <c r="J35" s="25"/>
      <c r="K35" s="25"/>
      <c r="L35" s="26"/>
      <c r="M35" s="25"/>
      <c r="P35" s="25"/>
      <c r="R35" s="3"/>
      <c r="S35" s="25"/>
      <c r="T35" s="6"/>
      <c r="U35" s="9"/>
      <c r="V35" s="103"/>
      <c r="W35" s="101">
        <v>71.0</v>
      </c>
      <c r="X35" s="100"/>
      <c r="Y35" s="100"/>
      <c r="Z35" s="101">
        <v>44.0</v>
      </c>
    </row>
    <row r="36" ht="12.75" customHeight="1">
      <c r="A36" s="9"/>
      <c r="B36" s="2"/>
      <c r="C36" s="3"/>
      <c r="D36" s="12"/>
      <c r="E36" s="2"/>
      <c r="F36" s="6"/>
      <c r="G36" s="12"/>
      <c r="H36" s="2"/>
      <c r="I36" s="6"/>
      <c r="J36" s="25"/>
      <c r="K36" s="9"/>
      <c r="L36" s="6"/>
      <c r="M36" s="25"/>
      <c r="N36" s="26"/>
      <c r="O36" s="26"/>
      <c r="P36" s="25"/>
      <c r="Q36" s="26"/>
      <c r="R36" s="3"/>
      <c r="S36" s="25"/>
      <c r="T36" s="6"/>
      <c r="U36" s="6"/>
      <c r="V36" s="100"/>
      <c r="W36" s="101"/>
      <c r="X36" s="100"/>
      <c r="Y36" s="100"/>
      <c r="Z36" s="101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6"/>
      <c r="S37" s="9"/>
      <c r="T37" s="9"/>
      <c r="U37" s="9"/>
      <c r="V37" s="98" t="s">
        <v>302</v>
      </c>
      <c r="W37" s="99"/>
      <c r="X37" s="98"/>
      <c r="Y37" s="98" t="s">
        <v>320</v>
      </c>
      <c r="Z37" s="99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6"/>
      <c r="S38" s="9"/>
      <c r="T38" s="9"/>
      <c r="U38" s="9"/>
      <c r="V38" s="100" t="s">
        <v>7</v>
      </c>
      <c r="W38" s="101">
        <v>0.0</v>
      </c>
      <c r="X38" s="100"/>
      <c r="Y38" s="100" t="s">
        <v>22</v>
      </c>
      <c r="Z38" s="101">
        <v>21.0</v>
      </c>
    </row>
    <row r="39" ht="12.75" customHeight="1">
      <c r="A39" s="1" t="s">
        <v>144</v>
      </c>
      <c r="B39" s="2"/>
      <c r="C39" s="3"/>
      <c r="D39" s="5" t="s">
        <v>145</v>
      </c>
      <c r="E39" s="2"/>
      <c r="F39" s="1"/>
      <c r="G39" s="5" t="s">
        <v>146</v>
      </c>
      <c r="H39" s="2"/>
      <c r="I39" s="1"/>
      <c r="J39" s="5" t="s">
        <v>147</v>
      </c>
      <c r="K39" s="2"/>
      <c r="L39" s="1"/>
      <c r="M39" s="5" t="s">
        <v>148</v>
      </c>
      <c r="N39" s="2"/>
      <c r="O39" s="1"/>
      <c r="P39" s="5" t="s">
        <v>149</v>
      </c>
      <c r="Q39" s="2"/>
      <c r="R39" s="6"/>
      <c r="S39" s="5" t="s">
        <v>150</v>
      </c>
      <c r="T39" s="1"/>
      <c r="U39" s="1"/>
      <c r="V39" s="100" t="s">
        <v>27</v>
      </c>
      <c r="W39" s="101">
        <v>12.0</v>
      </c>
      <c r="X39" s="100"/>
      <c r="Y39" s="100" t="s">
        <v>29</v>
      </c>
      <c r="Z39" s="101">
        <v>0.0</v>
      </c>
    </row>
    <row r="40" ht="12.75" customHeight="1">
      <c r="A40" s="9" t="s">
        <v>6</v>
      </c>
      <c r="B40" s="10" t="s">
        <v>345</v>
      </c>
      <c r="C40" s="14"/>
      <c r="D40" s="9" t="s">
        <v>151</v>
      </c>
      <c r="E40" s="10">
        <v>9.0</v>
      </c>
      <c r="F40" s="14" t="s">
        <v>9</v>
      </c>
      <c r="G40" s="1" t="s">
        <v>152</v>
      </c>
      <c r="H40" s="10" t="s">
        <v>345</v>
      </c>
      <c r="I40" s="14"/>
      <c r="J40" s="9" t="s">
        <v>153</v>
      </c>
      <c r="K40" s="10" t="s">
        <v>345</v>
      </c>
      <c r="L40" s="14"/>
      <c r="M40" s="9" t="s">
        <v>154</v>
      </c>
      <c r="N40" s="10">
        <v>21.0</v>
      </c>
      <c r="O40" s="14" t="s">
        <v>9</v>
      </c>
      <c r="P40" s="1" t="s">
        <v>155</v>
      </c>
      <c r="Q40" s="10" t="s">
        <v>345</v>
      </c>
      <c r="R40" s="14"/>
      <c r="S40" s="9" t="s">
        <v>156</v>
      </c>
      <c r="T40" s="9"/>
      <c r="U40" s="9"/>
      <c r="V40" s="100" t="s">
        <v>39</v>
      </c>
      <c r="W40" s="101">
        <v>6.0</v>
      </c>
      <c r="X40" s="100"/>
      <c r="Y40" s="100" t="s">
        <v>35</v>
      </c>
      <c r="Z40" s="101">
        <v>0.0</v>
      </c>
    </row>
    <row r="41" ht="12.75" customHeight="1">
      <c r="A41" s="9"/>
      <c r="B41" s="10" t="s">
        <v>345</v>
      </c>
      <c r="C41" s="14"/>
      <c r="D41" s="9" t="s">
        <v>163</v>
      </c>
      <c r="E41" s="10" t="s">
        <v>345</v>
      </c>
      <c r="F41" s="14"/>
      <c r="G41" s="9" t="s">
        <v>158</v>
      </c>
      <c r="H41" s="10">
        <v>4.0</v>
      </c>
      <c r="I41" s="14" t="s">
        <v>9</v>
      </c>
      <c r="J41" s="5" t="s">
        <v>159</v>
      </c>
      <c r="K41" s="10">
        <v>14.0</v>
      </c>
      <c r="L41" s="14" t="s">
        <v>9</v>
      </c>
      <c r="M41" s="1" t="s">
        <v>160</v>
      </c>
      <c r="N41" s="10" t="s">
        <v>345</v>
      </c>
      <c r="O41" s="14"/>
      <c r="P41" s="12" t="s">
        <v>161</v>
      </c>
      <c r="Q41" s="10">
        <v>6.0</v>
      </c>
      <c r="R41" s="14" t="s">
        <v>9</v>
      </c>
      <c r="S41" s="1" t="s">
        <v>162</v>
      </c>
      <c r="T41" s="9"/>
      <c r="U41" s="9"/>
      <c r="V41" s="100" t="s">
        <v>52</v>
      </c>
      <c r="W41" s="101">
        <v>2.0</v>
      </c>
      <c r="X41" s="100"/>
      <c r="Y41" s="100" t="s">
        <v>54</v>
      </c>
      <c r="Z41" s="101">
        <v>11.0</v>
      </c>
    </row>
    <row r="42" ht="12.75" customHeight="1">
      <c r="A42" s="9"/>
      <c r="B42" s="10">
        <v>24.0</v>
      </c>
      <c r="C42" s="14" t="s">
        <v>9</v>
      </c>
      <c r="D42" s="5" t="s">
        <v>157</v>
      </c>
      <c r="E42" s="10" t="s">
        <v>345</v>
      </c>
      <c r="F42" s="14"/>
      <c r="G42" s="12" t="s">
        <v>164</v>
      </c>
      <c r="H42" s="10" t="s">
        <v>345</v>
      </c>
      <c r="I42" s="14"/>
      <c r="J42" s="12" t="s">
        <v>365</v>
      </c>
      <c r="K42" s="10" t="s">
        <v>345</v>
      </c>
      <c r="L42" s="14"/>
      <c r="M42" s="9" t="s">
        <v>363</v>
      </c>
      <c r="N42" s="10" t="s">
        <v>345</v>
      </c>
      <c r="O42" s="14"/>
      <c r="P42" s="12" t="s">
        <v>167</v>
      </c>
      <c r="Q42" s="10" t="s">
        <v>345</v>
      </c>
      <c r="R42" s="14"/>
      <c r="S42" s="12" t="s">
        <v>168</v>
      </c>
      <c r="T42" s="9"/>
      <c r="U42" s="9"/>
      <c r="V42" s="100" t="s">
        <v>64</v>
      </c>
      <c r="W42" s="101">
        <v>18.0</v>
      </c>
      <c r="X42" s="100"/>
      <c r="Y42" s="100" t="s">
        <v>66</v>
      </c>
      <c r="Z42" s="101">
        <v>4.0</v>
      </c>
    </row>
    <row r="43" ht="12.75" customHeight="1">
      <c r="A43" s="9"/>
      <c r="B43" s="10"/>
      <c r="C43" s="3"/>
      <c r="D43" s="9"/>
      <c r="E43" s="10"/>
      <c r="F43" s="3"/>
      <c r="G43" s="9"/>
      <c r="H43" s="10"/>
      <c r="I43" s="3"/>
      <c r="J43" s="9"/>
      <c r="K43" s="10"/>
      <c r="L43" s="3"/>
      <c r="M43" s="9"/>
      <c r="N43" s="10"/>
      <c r="O43" s="3"/>
      <c r="P43" s="9"/>
      <c r="Q43" s="10"/>
      <c r="R43" s="3"/>
      <c r="S43" s="9"/>
      <c r="T43" s="9"/>
      <c r="U43" s="9"/>
      <c r="V43" s="100" t="s">
        <v>357</v>
      </c>
      <c r="W43" s="101">
        <v>0.0</v>
      </c>
      <c r="X43" s="100"/>
      <c r="Y43" s="100" t="s">
        <v>91</v>
      </c>
      <c r="Z43" s="101">
        <v>8.0</v>
      </c>
    </row>
    <row r="44" ht="12.75" customHeight="1">
      <c r="A44" s="9" t="s">
        <v>26</v>
      </c>
      <c r="B44" s="10">
        <v>0.0</v>
      </c>
      <c r="C44" s="14" t="s">
        <v>9</v>
      </c>
      <c r="D44" s="1" t="s">
        <v>169</v>
      </c>
      <c r="E44" s="10">
        <v>18.0</v>
      </c>
      <c r="F44" s="14" t="s">
        <v>9</v>
      </c>
      <c r="G44" s="1" t="s">
        <v>170</v>
      </c>
      <c r="H44" s="10">
        <v>6.0</v>
      </c>
      <c r="I44" s="14" t="s">
        <v>9</v>
      </c>
      <c r="J44" s="1" t="s">
        <v>171</v>
      </c>
      <c r="K44" s="10">
        <v>21.0</v>
      </c>
      <c r="L44" s="14" t="s">
        <v>9</v>
      </c>
      <c r="M44" s="1" t="s">
        <v>172</v>
      </c>
      <c r="N44" s="10">
        <v>3.0</v>
      </c>
      <c r="O44" s="14" t="s">
        <v>9</v>
      </c>
      <c r="P44" s="5" t="s">
        <v>173</v>
      </c>
      <c r="Q44" s="10">
        <v>0.0</v>
      </c>
      <c r="R44" s="14" t="s">
        <v>9</v>
      </c>
      <c r="S44" s="1" t="s">
        <v>174</v>
      </c>
      <c r="T44" s="9"/>
      <c r="U44" s="9"/>
      <c r="V44" s="100" t="s">
        <v>103</v>
      </c>
      <c r="W44" s="101">
        <v>11.0</v>
      </c>
      <c r="X44" s="100"/>
      <c r="Y44" s="100" t="s">
        <v>99</v>
      </c>
      <c r="Z44" s="101">
        <v>6.0</v>
      </c>
    </row>
    <row r="45" ht="12.75" customHeight="1">
      <c r="A45" s="9"/>
      <c r="B45" s="10" t="s">
        <v>345</v>
      </c>
      <c r="C45" s="14"/>
      <c r="D45" s="9" t="s">
        <v>175</v>
      </c>
      <c r="E45" s="10">
        <v>0.0</v>
      </c>
      <c r="F45" s="14" t="s">
        <v>9</v>
      </c>
      <c r="G45" s="1" t="s">
        <v>176</v>
      </c>
      <c r="H45" s="10" t="s">
        <v>345</v>
      </c>
      <c r="I45" s="14"/>
      <c r="J45" s="12" t="s">
        <v>177</v>
      </c>
      <c r="K45" s="10" t="s">
        <v>345</v>
      </c>
      <c r="L45" s="14"/>
      <c r="M45" s="9" t="s">
        <v>178</v>
      </c>
      <c r="N45" s="10" t="s">
        <v>345</v>
      </c>
      <c r="O45" s="14"/>
      <c r="P45" s="9" t="s">
        <v>179</v>
      </c>
      <c r="Q45" s="10">
        <v>0.0</v>
      </c>
      <c r="R45" s="14" t="s">
        <v>9</v>
      </c>
      <c r="S45" s="1" t="s">
        <v>180</v>
      </c>
      <c r="T45" s="9"/>
      <c r="U45" s="9"/>
      <c r="V45" s="100" t="s">
        <v>116</v>
      </c>
      <c r="W45" s="101">
        <v>2.0</v>
      </c>
      <c r="X45" s="100"/>
      <c r="Y45" s="100" t="s">
        <v>118</v>
      </c>
      <c r="Z45" s="101">
        <v>14.0</v>
      </c>
    </row>
    <row r="46" ht="12.75" customHeight="1">
      <c r="A46" s="9"/>
      <c r="B46" s="10">
        <v>0.0</v>
      </c>
      <c r="C46" s="14" t="s">
        <v>9</v>
      </c>
      <c r="D46" s="5" t="s">
        <v>181</v>
      </c>
      <c r="E46" s="10" t="s">
        <v>345</v>
      </c>
      <c r="F46" s="14"/>
      <c r="G46" s="9" t="s">
        <v>182</v>
      </c>
      <c r="H46" s="10" t="s">
        <v>345</v>
      </c>
      <c r="I46" s="14"/>
      <c r="J46" s="12" t="s">
        <v>183</v>
      </c>
      <c r="K46" s="10" t="s">
        <v>345</v>
      </c>
      <c r="L46" s="14"/>
      <c r="M46" s="12" t="s">
        <v>184</v>
      </c>
      <c r="N46" s="10" t="s">
        <v>345</v>
      </c>
      <c r="O46" s="14"/>
      <c r="P46" s="18" t="s">
        <v>185</v>
      </c>
      <c r="Q46" s="10" t="s">
        <v>345</v>
      </c>
      <c r="R46" s="14"/>
      <c r="S46" s="12" t="s">
        <v>186</v>
      </c>
      <c r="T46" s="9"/>
      <c r="U46" s="9"/>
      <c r="V46" s="100" t="s">
        <v>123</v>
      </c>
      <c r="W46" s="101">
        <v>5.0</v>
      </c>
      <c r="X46" s="100"/>
      <c r="Y46" s="100" t="s">
        <v>131</v>
      </c>
      <c r="Z46" s="101">
        <v>7.0</v>
      </c>
    </row>
    <row r="47" ht="12.75" customHeight="1">
      <c r="A47" s="9"/>
      <c r="B47" s="10" t="s">
        <v>345</v>
      </c>
      <c r="C47" s="14"/>
      <c r="D47" s="12" t="s">
        <v>366</v>
      </c>
      <c r="E47" s="10" t="s">
        <v>345</v>
      </c>
      <c r="F47" s="14"/>
      <c r="G47" s="12" t="s">
        <v>188</v>
      </c>
      <c r="H47" s="10">
        <v>0.0</v>
      </c>
      <c r="I47" s="14" t="s">
        <v>9</v>
      </c>
      <c r="J47" s="5" t="s">
        <v>189</v>
      </c>
      <c r="K47" s="10">
        <v>2.0</v>
      </c>
      <c r="L47" s="14" t="s">
        <v>9</v>
      </c>
      <c r="M47" s="5" t="s">
        <v>37</v>
      </c>
      <c r="N47" s="10">
        <v>6.0</v>
      </c>
      <c r="O47" s="14" t="s">
        <v>9</v>
      </c>
      <c r="P47" s="5" t="s">
        <v>191</v>
      </c>
      <c r="Q47" s="10" t="s">
        <v>345</v>
      </c>
      <c r="R47" s="14"/>
      <c r="S47" s="9" t="s">
        <v>367</v>
      </c>
      <c r="T47" s="9"/>
      <c r="U47" s="9"/>
      <c r="V47" s="100"/>
      <c r="W47" s="101">
        <v>56.0</v>
      </c>
      <c r="X47" s="100"/>
      <c r="Y47" s="100"/>
      <c r="Z47" s="101">
        <v>71.0</v>
      </c>
    </row>
    <row r="48" ht="12.75" customHeight="1">
      <c r="A48" s="9"/>
      <c r="B48" s="10"/>
      <c r="C48" s="3"/>
      <c r="D48" s="9"/>
      <c r="E48" s="10"/>
      <c r="F48" s="3"/>
      <c r="G48" s="9"/>
      <c r="H48" s="10"/>
      <c r="I48" s="3"/>
      <c r="J48" s="9"/>
      <c r="K48" s="10"/>
      <c r="L48" s="3"/>
      <c r="M48" s="9"/>
      <c r="N48" s="10"/>
      <c r="O48" s="3"/>
      <c r="P48" s="9"/>
      <c r="Q48" s="10"/>
      <c r="R48" s="3"/>
      <c r="S48" s="9"/>
      <c r="T48" s="9"/>
      <c r="U48" s="9"/>
      <c r="V48" s="100"/>
      <c r="W48" s="101"/>
      <c r="X48" s="100"/>
      <c r="Y48" s="100"/>
      <c r="Z48" s="101"/>
    </row>
    <row r="49" ht="12.75" customHeight="1">
      <c r="A49" s="9" t="s">
        <v>51</v>
      </c>
      <c r="B49" s="10">
        <v>0.0</v>
      </c>
      <c r="C49" s="14" t="s">
        <v>9</v>
      </c>
      <c r="D49" s="1" t="s">
        <v>193</v>
      </c>
      <c r="E49" s="10">
        <v>0.0</v>
      </c>
      <c r="F49" s="14" t="s">
        <v>9</v>
      </c>
      <c r="G49" s="1" t="s">
        <v>194</v>
      </c>
      <c r="H49" s="10">
        <v>0.0</v>
      </c>
      <c r="I49" s="14" t="s">
        <v>9</v>
      </c>
      <c r="J49" s="1" t="s">
        <v>364</v>
      </c>
      <c r="K49" s="10">
        <v>12.0</v>
      </c>
      <c r="L49" s="14" t="s">
        <v>9</v>
      </c>
      <c r="M49" s="1" t="s">
        <v>196</v>
      </c>
      <c r="N49" s="10" t="s">
        <v>345</v>
      </c>
      <c r="O49" s="14"/>
      <c r="P49" s="9" t="s">
        <v>197</v>
      </c>
      <c r="Q49" s="10" t="s">
        <v>345</v>
      </c>
      <c r="R49" s="14"/>
      <c r="S49" s="12" t="s">
        <v>198</v>
      </c>
      <c r="T49" s="9"/>
      <c r="U49" s="9"/>
      <c r="V49" s="98" t="s">
        <v>321</v>
      </c>
      <c r="W49" s="99"/>
      <c r="X49" s="98"/>
      <c r="Y49" s="98" t="s">
        <v>323</v>
      </c>
      <c r="Z49" s="99"/>
    </row>
    <row r="50" ht="12.75" customHeight="1">
      <c r="A50" s="9"/>
      <c r="B50" s="10">
        <v>0.0</v>
      </c>
      <c r="C50" s="14" t="s">
        <v>9</v>
      </c>
      <c r="D50" s="1" t="s">
        <v>199</v>
      </c>
      <c r="E50" s="10">
        <v>0.0</v>
      </c>
      <c r="F50" s="14" t="s">
        <v>9</v>
      </c>
      <c r="G50" s="5" t="s">
        <v>200</v>
      </c>
      <c r="H50" s="10">
        <v>0.0</v>
      </c>
      <c r="I50" s="14" t="s">
        <v>9</v>
      </c>
      <c r="J50" s="1" t="s">
        <v>201</v>
      </c>
      <c r="K50" s="10" t="s">
        <v>345</v>
      </c>
      <c r="L50" s="14"/>
      <c r="M50" s="9" t="s">
        <v>202</v>
      </c>
      <c r="N50" s="10">
        <v>9.0</v>
      </c>
      <c r="O50" s="14" t="s">
        <v>9</v>
      </c>
      <c r="P50" s="1" t="s">
        <v>203</v>
      </c>
      <c r="Q50" s="10">
        <v>0.0</v>
      </c>
      <c r="R50" s="14" t="s">
        <v>9</v>
      </c>
      <c r="S50" s="1" t="s">
        <v>204</v>
      </c>
      <c r="T50" s="9"/>
      <c r="U50" s="9"/>
      <c r="V50" s="100" t="s">
        <v>11</v>
      </c>
      <c r="W50" s="101">
        <v>22.0</v>
      </c>
      <c r="X50" s="100"/>
      <c r="Y50" s="100" t="s">
        <v>13</v>
      </c>
      <c r="Z50" s="101">
        <v>7.0</v>
      </c>
    </row>
    <row r="51" ht="12.75" customHeight="1">
      <c r="A51" s="9"/>
      <c r="B51" s="10" t="s">
        <v>345</v>
      </c>
      <c r="C51" s="14"/>
      <c r="D51" s="9" t="s">
        <v>205</v>
      </c>
      <c r="E51" s="10" t="s">
        <v>345</v>
      </c>
      <c r="F51" s="14"/>
      <c r="G51" s="9" t="s">
        <v>206</v>
      </c>
      <c r="H51" s="10" t="s">
        <v>345</v>
      </c>
      <c r="I51" s="14"/>
      <c r="J51" s="18" t="s">
        <v>207</v>
      </c>
      <c r="K51" s="10">
        <v>2.0</v>
      </c>
      <c r="L51" s="14" t="s">
        <v>9</v>
      </c>
      <c r="M51" s="1" t="s">
        <v>208</v>
      </c>
      <c r="N51" s="10">
        <v>0.0</v>
      </c>
      <c r="O51" s="14" t="s">
        <v>9</v>
      </c>
      <c r="P51" s="1" t="s">
        <v>209</v>
      </c>
      <c r="Q51" s="10">
        <v>14.0</v>
      </c>
      <c r="R51" s="14" t="s">
        <v>9</v>
      </c>
      <c r="S51" s="1" t="s">
        <v>210</v>
      </c>
      <c r="T51" s="9"/>
      <c r="U51" s="9"/>
      <c r="V51" s="100" t="s">
        <v>30</v>
      </c>
      <c r="W51" s="101">
        <v>2.0</v>
      </c>
      <c r="X51" s="100"/>
      <c r="Y51" s="100" t="s">
        <v>372</v>
      </c>
      <c r="Z51" s="101">
        <v>20.0</v>
      </c>
    </row>
    <row r="52" ht="12.75" customHeight="1">
      <c r="A52" s="9"/>
      <c r="B52" s="10" t="s">
        <v>345</v>
      </c>
      <c r="C52" s="14"/>
      <c r="D52" s="12" t="s">
        <v>368</v>
      </c>
      <c r="E52" s="10" t="s">
        <v>345</v>
      </c>
      <c r="F52" s="14"/>
      <c r="G52" s="17" t="s">
        <v>212</v>
      </c>
      <c r="H52" s="10" t="s">
        <v>345</v>
      </c>
      <c r="I52" s="14"/>
      <c r="J52" s="12" t="s">
        <v>213</v>
      </c>
      <c r="K52" s="10" t="s">
        <v>345</v>
      </c>
      <c r="L52" s="14"/>
      <c r="M52" s="12" t="s">
        <v>349</v>
      </c>
      <c r="N52" s="10" t="s">
        <v>345</v>
      </c>
      <c r="O52" s="14"/>
      <c r="P52" s="12" t="s">
        <v>215</v>
      </c>
      <c r="Q52" s="10" t="s">
        <v>345</v>
      </c>
      <c r="R52" s="14"/>
      <c r="S52" s="12" t="s">
        <v>216</v>
      </c>
      <c r="T52" s="9"/>
      <c r="U52" s="9"/>
      <c r="V52" s="100" t="s">
        <v>42</v>
      </c>
      <c r="W52" s="101">
        <v>0.0</v>
      </c>
      <c r="X52" s="100"/>
      <c r="Y52" s="100" t="s">
        <v>50</v>
      </c>
      <c r="Z52" s="101">
        <v>4.0</v>
      </c>
    </row>
    <row r="53" ht="12.75" customHeight="1">
      <c r="A53" s="9"/>
      <c r="B53" s="10"/>
      <c r="C53" s="3"/>
      <c r="D53" s="9"/>
      <c r="E53" s="10"/>
      <c r="F53" s="3"/>
      <c r="G53" s="9"/>
      <c r="H53" s="10"/>
      <c r="I53" s="3"/>
      <c r="J53" s="9"/>
      <c r="K53" s="10"/>
      <c r="L53" s="3"/>
      <c r="M53" s="9"/>
      <c r="N53" s="10"/>
      <c r="O53" s="3"/>
      <c r="P53" s="9"/>
      <c r="Q53" s="10"/>
      <c r="R53" s="3"/>
      <c r="S53" s="9"/>
      <c r="T53" s="9"/>
      <c r="U53" s="9"/>
      <c r="V53" s="100" t="s">
        <v>61</v>
      </c>
      <c r="W53" s="101">
        <v>4.0</v>
      </c>
      <c r="X53" s="100"/>
      <c r="Y53" s="100" t="s">
        <v>57</v>
      </c>
      <c r="Z53" s="101">
        <v>9.0</v>
      </c>
    </row>
    <row r="54" ht="12.75" customHeight="1">
      <c r="A54" s="9" t="s">
        <v>76</v>
      </c>
      <c r="B54" s="10">
        <v>0.0</v>
      </c>
      <c r="C54" s="14" t="s">
        <v>9</v>
      </c>
      <c r="D54" s="1" t="s">
        <v>217</v>
      </c>
      <c r="E54" s="10">
        <v>14.0</v>
      </c>
      <c r="F54" s="14" t="s">
        <v>9</v>
      </c>
      <c r="G54" s="1" t="s">
        <v>218</v>
      </c>
      <c r="H54" s="10" t="s">
        <v>345</v>
      </c>
      <c r="I54" s="14"/>
      <c r="J54" s="9" t="s">
        <v>219</v>
      </c>
      <c r="K54" s="10">
        <v>0.0</v>
      </c>
      <c r="L54" s="14" t="s">
        <v>9</v>
      </c>
      <c r="M54" s="5" t="s">
        <v>220</v>
      </c>
      <c r="N54" s="10" t="s">
        <v>345</v>
      </c>
      <c r="O54" s="14"/>
      <c r="P54" s="9" t="s">
        <v>221</v>
      </c>
      <c r="Q54" s="10" t="s">
        <v>345</v>
      </c>
      <c r="R54" s="14"/>
      <c r="S54" s="9" t="s">
        <v>222</v>
      </c>
      <c r="T54" s="9"/>
      <c r="U54" s="9"/>
      <c r="V54" s="100" t="s">
        <v>73</v>
      </c>
      <c r="W54" s="101">
        <v>0.0</v>
      </c>
      <c r="X54" s="100"/>
      <c r="Y54" s="100" t="s">
        <v>63</v>
      </c>
      <c r="Z54" s="101">
        <v>12.0</v>
      </c>
    </row>
    <row r="55" ht="12.75" customHeight="1">
      <c r="A55" s="9"/>
      <c r="B55" s="10" t="s">
        <v>345</v>
      </c>
      <c r="C55" s="14"/>
      <c r="D55" s="12" t="s">
        <v>223</v>
      </c>
      <c r="E55" s="10" t="s">
        <v>345</v>
      </c>
      <c r="F55" s="14"/>
      <c r="G55" s="9" t="s">
        <v>224</v>
      </c>
      <c r="H55" s="10" t="s">
        <v>345</v>
      </c>
      <c r="I55" s="14"/>
      <c r="J55" s="9" t="s">
        <v>225</v>
      </c>
      <c r="K55" s="10" t="s">
        <v>345</v>
      </c>
      <c r="L55" s="14"/>
      <c r="M55" s="12" t="s">
        <v>226</v>
      </c>
      <c r="N55" s="10" t="s">
        <v>345</v>
      </c>
      <c r="O55" s="14"/>
      <c r="P55" s="9" t="s">
        <v>227</v>
      </c>
      <c r="Q55" s="10" t="s">
        <v>345</v>
      </c>
      <c r="R55" s="14"/>
      <c r="S55" s="12" t="s">
        <v>228</v>
      </c>
      <c r="T55" s="9"/>
      <c r="U55" s="9"/>
      <c r="V55" s="100" t="s">
        <v>92</v>
      </c>
      <c r="W55" s="101">
        <v>8.0</v>
      </c>
      <c r="X55" s="100"/>
      <c r="Y55" s="100" t="s">
        <v>82</v>
      </c>
      <c r="Z55" s="101">
        <v>12.0</v>
      </c>
    </row>
    <row r="56" ht="12.75" customHeight="1">
      <c r="A56" s="9"/>
      <c r="B56" s="10" t="s">
        <v>345</v>
      </c>
      <c r="C56" s="14"/>
      <c r="D56" s="12" t="s">
        <v>229</v>
      </c>
      <c r="E56" s="10" t="s">
        <v>345</v>
      </c>
      <c r="F56" s="14"/>
      <c r="G56" s="9" t="s">
        <v>230</v>
      </c>
      <c r="H56" s="10">
        <v>0.0</v>
      </c>
      <c r="I56" s="14" t="s">
        <v>9</v>
      </c>
      <c r="J56" s="5" t="s">
        <v>231</v>
      </c>
      <c r="K56" s="10" t="s">
        <v>345</v>
      </c>
      <c r="L56" s="14"/>
      <c r="M56" s="12" t="s">
        <v>369</v>
      </c>
      <c r="N56" s="10">
        <v>0.0</v>
      </c>
      <c r="O56" s="14" t="s">
        <v>9</v>
      </c>
      <c r="P56" s="1" t="s">
        <v>233</v>
      </c>
      <c r="Q56" s="10">
        <v>0.0</v>
      </c>
      <c r="R56" s="14" t="s">
        <v>9</v>
      </c>
      <c r="S56" s="5" t="s">
        <v>234</v>
      </c>
      <c r="T56" s="9"/>
      <c r="U56" s="9"/>
      <c r="V56" s="100" t="s">
        <v>100</v>
      </c>
      <c r="W56" s="101">
        <v>7.0</v>
      </c>
      <c r="X56" s="100"/>
      <c r="Y56" s="100" t="s">
        <v>102</v>
      </c>
      <c r="Z56" s="101">
        <v>0.0</v>
      </c>
    </row>
    <row r="57" ht="12.75" customHeight="1">
      <c r="A57" s="9"/>
      <c r="B57" s="10"/>
      <c r="C57" s="3"/>
      <c r="D57" s="9"/>
      <c r="E57" s="10"/>
      <c r="F57" s="3"/>
      <c r="G57" s="9"/>
      <c r="H57" s="10"/>
      <c r="I57" s="3"/>
      <c r="J57" s="9"/>
      <c r="K57" s="10"/>
      <c r="L57" s="3"/>
      <c r="M57" s="9"/>
      <c r="N57" s="10"/>
      <c r="O57" s="3"/>
      <c r="P57" s="9"/>
      <c r="Q57" s="10"/>
      <c r="R57" s="3"/>
      <c r="S57" s="9"/>
      <c r="T57" s="9"/>
      <c r="U57" s="9"/>
      <c r="V57" s="100" t="s">
        <v>113</v>
      </c>
      <c r="W57" s="101">
        <v>13.0</v>
      </c>
      <c r="X57" s="100"/>
      <c r="Y57" s="100" t="s">
        <v>362</v>
      </c>
      <c r="Z57" s="101">
        <v>6.0</v>
      </c>
    </row>
    <row r="58" ht="12.75" customHeight="1">
      <c r="A58" s="9" t="s">
        <v>96</v>
      </c>
      <c r="B58" s="10">
        <v>12.0</v>
      </c>
      <c r="C58" s="14" t="s">
        <v>9</v>
      </c>
      <c r="D58" s="1" t="s">
        <v>235</v>
      </c>
      <c r="E58" s="10" t="s">
        <v>345</v>
      </c>
      <c r="F58" s="14"/>
      <c r="G58" s="9" t="s">
        <v>236</v>
      </c>
      <c r="H58" s="10" t="s">
        <v>345</v>
      </c>
      <c r="I58" s="14"/>
      <c r="J58" s="9" t="s">
        <v>370</v>
      </c>
      <c r="K58" s="10">
        <v>0.0</v>
      </c>
      <c r="L58" s="14" t="s">
        <v>9</v>
      </c>
      <c r="M58" s="5" t="s">
        <v>238</v>
      </c>
      <c r="N58" s="10">
        <v>6.0</v>
      </c>
      <c r="O58" s="14" t="s">
        <v>9</v>
      </c>
      <c r="P58" s="5" t="s">
        <v>239</v>
      </c>
      <c r="Q58" s="10">
        <v>6.0</v>
      </c>
      <c r="R58" s="14" t="s">
        <v>9</v>
      </c>
      <c r="S58" s="1" t="s">
        <v>240</v>
      </c>
      <c r="T58" s="9"/>
      <c r="U58" s="9"/>
      <c r="V58" s="100" t="s">
        <v>126</v>
      </c>
      <c r="W58" s="101">
        <v>4.0</v>
      </c>
      <c r="X58" s="100"/>
      <c r="Y58" s="100" t="s">
        <v>128</v>
      </c>
      <c r="Z58" s="101">
        <v>0.0</v>
      </c>
    </row>
    <row r="59" ht="12.75" customHeight="1">
      <c r="A59" s="9"/>
      <c r="B59" s="10" t="s">
        <v>345</v>
      </c>
      <c r="C59" s="14"/>
      <c r="D59" s="12" t="s">
        <v>371</v>
      </c>
      <c r="E59" s="10">
        <v>0.0</v>
      </c>
      <c r="F59" s="14" t="s">
        <v>9</v>
      </c>
      <c r="G59" s="1" t="s">
        <v>242</v>
      </c>
      <c r="H59" s="10">
        <v>5.0</v>
      </c>
      <c r="I59" s="14" t="s">
        <v>9</v>
      </c>
      <c r="J59" s="1" t="s">
        <v>237</v>
      </c>
      <c r="K59" s="10" t="s">
        <v>345</v>
      </c>
      <c r="L59" s="14"/>
      <c r="M59" s="12" t="s">
        <v>244</v>
      </c>
      <c r="N59" s="10" t="s">
        <v>345</v>
      </c>
      <c r="O59" s="14"/>
      <c r="P59" s="12" t="s">
        <v>245</v>
      </c>
      <c r="Q59" s="10" t="s">
        <v>345</v>
      </c>
      <c r="R59" s="14"/>
      <c r="S59" s="12" t="s">
        <v>246</v>
      </c>
      <c r="T59" s="9"/>
      <c r="U59" s="9"/>
      <c r="V59" s="100"/>
      <c r="W59" s="101">
        <v>60.0</v>
      </c>
      <c r="X59" s="100"/>
      <c r="Y59" s="100"/>
      <c r="Z59" s="101">
        <v>70.0</v>
      </c>
    </row>
    <row r="60" ht="12.75" customHeight="1">
      <c r="A60" s="9"/>
      <c r="B60" s="10"/>
      <c r="C60" s="3"/>
      <c r="D60" s="9"/>
      <c r="E60" s="10"/>
      <c r="F60" s="3"/>
      <c r="G60" s="9"/>
      <c r="H60" s="10"/>
      <c r="I60" s="3"/>
      <c r="J60" s="9"/>
      <c r="K60" s="10"/>
      <c r="L60" s="3"/>
      <c r="M60" s="9"/>
      <c r="N60" s="10"/>
      <c r="O60" s="3"/>
      <c r="P60" s="9"/>
      <c r="Q60" s="10"/>
      <c r="R60" s="3"/>
      <c r="S60" s="9"/>
      <c r="T60" s="9"/>
      <c r="U60" s="9"/>
      <c r="V60" s="100"/>
      <c r="W60" s="101"/>
      <c r="X60" s="100"/>
      <c r="Y60" s="100"/>
      <c r="Z60" s="101"/>
    </row>
    <row r="61" ht="12.75" customHeight="1">
      <c r="A61" s="9" t="s">
        <v>109</v>
      </c>
      <c r="B61" s="10">
        <v>0.0</v>
      </c>
      <c r="C61" s="14" t="s">
        <v>9</v>
      </c>
      <c r="D61" s="1" t="s">
        <v>247</v>
      </c>
      <c r="E61" s="10">
        <v>8.0</v>
      </c>
      <c r="F61" s="14" t="s">
        <v>9</v>
      </c>
      <c r="G61" s="5" t="s">
        <v>248</v>
      </c>
      <c r="H61" s="10">
        <v>10.0</v>
      </c>
      <c r="I61" s="14" t="s">
        <v>9</v>
      </c>
      <c r="J61" s="5" t="s">
        <v>249</v>
      </c>
      <c r="K61" s="10">
        <v>0.0</v>
      </c>
      <c r="L61" s="14" t="s">
        <v>9</v>
      </c>
      <c r="M61" s="5" t="s">
        <v>250</v>
      </c>
      <c r="N61" s="10" t="s">
        <v>345</v>
      </c>
      <c r="O61" s="14"/>
      <c r="P61" s="9" t="s">
        <v>251</v>
      </c>
      <c r="Q61" s="10">
        <v>14.0</v>
      </c>
      <c r="R61" s="14" t="s">
        <v>9</v>
      </c>
      <c r="S61" s="5" t="s">
        <v>252</v>
      </c>
      <c r="T61" s="9"/>
      <c r="U61" s="9"/>
      <c r="V61" s="98" t="s">
        <v>324</v>
      </c>
      <c r="W61" s="99"/>
      <c r="X61" s="98"/>
      <c r="Y61" s="98" t="s">
        <v>326</v>
      </c>
      <c r="Z61" s="99"/>
    </row>
    <row r="62" ht="12.75" customHeight="1">
      <c r="A62" s="9"/>
      <c r="B62" s="10" t="s">
        <v>345</v>
      </c>
      <c r="C62" s="14"/>
      <c r="D62" s="9" t="s">
        <v>253</v>
      </c>
      <c r="E62" s="10" t="s">
        <v>345</v>
      </c>
      <c r="F62" s="14"/>
      <c r="G62" s="12" t="s">
        <v>254</v>
      </c>
      <c r="H62" s="10" t="s">
        <v>345</v>
      </c>
      <c r="I62" s="14"/>
      <c r="J62" s="12" t="s">
        <v>255</v>
      </c>
      <c r="K62" s="10" t="s">
        <v>345</v>
      </c>
      <c r="L62" s="14"/>
      <c r="M62" s="9" t="s">
        <v>256</v>
      </c>
      <c r="N62" s="10">
        <v>22.0</v>
      </c>
      <c r="O62" s="14" t="s">
        <v>9</v>
      </c>
      <c r="P62" s="5" t="s">
        <v>257</v>
      </c>
      <c r="Q62" s="10" t="s">
        <v>345</v>
      </c>
      <c r="R62" s="14"/>
      <c r="S62" s="12" t="s">
        <v>258</v>
      </c>
      <c r="T62" s="9"/>
      <c r="U62" s="9"/>
      <c r="V62" s="100" t="s">
        <v>157</v>
      </c>
      <c r="W62" s="101">
        <v>24.0</v>
      </c>
      <c r="X62" s="100"/>
      <c r="Y62" s="100" t="s">
        <v>159</v>
      </c>
      <c r="Z62" s="101">
        <v>4.0</v>
      </c>
    </row>
    <row r="63" ht="12.75" customHeight="1">
      <c r="A63" s="9"/>
      <c r="B63" s="10"/>
      <c r="C63" s="3"/>
      <c r="D63" s="9"/>
      <c r="E63" s="10"/>
      <c r="F63" s="3"/>
      <c r="G63" s="9"/>
      <c r="H63" s="10"/>
      <c r="I63" s="3"/>
      <c r="J63" s="9"/>
      <c r="K63" s="10"/>
      <c r="L63" s="3"/>
      <c r="M63" s="9"/>
      <c r="N63" s="10"/>
      <c r="O63" s="3"/>
      <c r="P63" s="9"/>
      <c r="Q63" s="10"/>
      <c r="R63" s="3"/>
      <c r="S63" s="9"/>
      <c r="T63" s="9"/>
      <c r="U63" s="9"/>
      <c r="V63" s="100" t="s">
        <v>169</v>
      </c>
      <c r="W63" s="101">
        <v>0.0</v>
      </c>
      <c r="X63" s="100"/>
      <c r="Y63" s="100" t="s">
        <v>171</v>
      </c>
      <c r="Z63" s="101">
        <v>6.0</v>
      </c>
    </row>
    <row r="64" ht="12.75" customHeight="1">
      <c r="A64" s="9" t="s">
        <v>122</v>
      </c>
      <c r="B64" s="10">
        <v>5.0</v>
      </c>
      <c r="C64" s="14" t="s">
        <v>9</v>
      </c>
      <c r="D64" s="5" t="s">
        <v>259</v>
      </c>
      <c r="E64" s="10">
        <v>4.0</v>
      </c>
      <c r="F64" s="14" t="s">
        <v>9</v>
      </c>
      <c r="G64" s="1" t="s">
        <v>260</v>
      </c>
      <c r="H64" s="10">
        <v>5.0</v>
      </c>
      <c r="I64" s="14" t="s">
        <v>9</v>
      </c>
      <c r="J64" s="1" t="s">
        <v>261</v>
      </c>
      <c r="K64" s="10" t="s">
        <v>345</v>
      </c>
      <c r="L64" s="14"/>
      <c r="M64" s="12" t="s">
        <v>262</v>
      </c>
      <c r="N64" s="10" t="s">
        <v>345</v>
      </c>
      <c r="O64" s="14"/>
      <c r="P64" s="12" t="s">
        <v>263</v>
      </c>
      <c r="Q64" s="10" t="s">
        <v>345</v>
      </c>
      <c r="R64" s="14"/>
      <c r="S64" s="9" t="s">
        <v>264</v>
      </c>
      <c r="T64" s="9"/>
      <c r="U64" s="9"/>
      <c r="V64" s="100" t="s">
        <v>181</v>
      </c>
      <c r="W64" s="101">
        <v>0.0</v>
      </c>
      <c r="X64" s="100"/>
      <c r="Y64" s="100" t="s">
        <v>189</v>
      </c>
      <c r="Z64" s="101">
        <v>0.0</v>
      </c>
    </row>
    <row r="65" ht="12.75" customHeight="1">
      <c r="A65" s="9"/>
      <c r="B65" s="10" t="s">
        <v>345</v>
      </c>
      <c r="C65" s="14"/>
      <c r="D65" s="9" t="s">
        <v>265</v>
      </c>
      <c r="E65" s="10" t="s">
        <v>345</v>
      </c>
      <c r="F65" s="14"/>
      <c r="G65" s="12" t="s">
        <v>266</v>
      </c>
      <c r="H65" s="10" t="s">
        <v>345</v>
      </c>
      <c r="I65" s="14"/>
      <c r="J65" s="9" t="s">
        <v>267</v>
      </c>
      <c r="K65" s="10">
        <v>0.0</v>
      </c>
      <c r="L65" s="14" t="s">
        <v>9</v>
      </c>
      <c r="M65" s="1" t="s">
        <v>268</v>
      </c>
      <c r="N65" s="10">
        <v>0.0</v>
      </c>
      <c r="O65" s="14" t="s">
        <v>9</v>
      </c>
      <c r="P65" s="1" t="s">
        <v>269</v>
      </c>
      <c r="Q65" s="10">
        <v>4.0</v>
      </c>
      <c r="R65" s="14" t="s">
        <v>9</v>
      </c>
      <c r="S65" s="5" t="s">
        <v>270</v>
      </c>
      <c r="T65" s="9"/>
      <c r="U65" s="9"/>
      <c r="V65" s="100" t="s">
        <v>193</v>
      </c>
      <c r="W65" s="101">
        <v>0.0</v>
      </c>
      <c r="X65" s="100"/>
      <c r="Y65" s="100" t="s">
        <v>364</v>
      </c>
      <c r="Z65" s="101">
        <v>0.0</v>
      </c>
    </row>
    <row r="66" ht="12.75" customHeight="1">
      <c r="A66" s="9"/>
      <c r="B66" s="2"/>
      <c r="C66" s="3"/>
      <c r="D66" s="9"/>
      <c r="E66" s="10"/>
      <c r="F66" s="3"/>
      <c r="G66" s="9"/>
      <c r="H66" s="10"/>
      <c r="I66" s="3"/>
      <c r="J66" s="9"/>
      <c r="K66" s="10"/>
      <c r="L66" s="3"/>
      <c r="M66" s="9"/>
      <c r="N66" s="10"/>
      <c r="O66" s="3"/>
      <c r="P66" s="9"/>
      <c r="Q66" s="10"/>
      <c r="R66" s="3"/>
      <c r="S66" s="9"/>
      <c r="T66" s="9"/>
      <c r="U66" s="9"/>
      <c r="V66" s="100" t="s">
        <v>199</v>
      </c>
      <c r="W66" s="101">
        <v>0.0</v>
      </c>
      <c r="X66" s="100"/>
      <c r="Y66" s="100" t="s">
        <v>201</v>
      </c>
      <c r="Z66" s="101">
        <v>0.0</v>
      </c>
    </row>
    <row r="67" ht="12.75" customHeight="1">
      <c r="A67" s="19"/>
      <c r="B67" s="20"/>
      <c r="C67" s="21"/>
      <c r="D67" s="22">
        <v>41.0</v>
      </c>
      <c r="E67" s="20"/>
      <c r="F67" s="21"/>
      <c r="G67" s="22">
        <v>53.0</v>
      </c>
      <c r="H67" s="20"/>
      <c r="I67" s="21"/>
      <c r="J67" s="22">
        <v>30.0</v>
      </c>
      <c r="K67" s="20"/>
      <c r="L67" s="21"/>
      <c r="M67" s="22">
        <v>51.0</v>
      </c>
      <c r="N67" s="20"/>
      <c r="O67" s="21"/>
      <c r="P67" s="22">
        <v>67.0</v>
      </c>
      <c r="Q67" s="20"/>
      <c r="R67" s="21"/>
      <c r="S67" s="22">
        <v>44.0</v>
      </c>
      <c r="T67" s="19"/>
      <c r="U67" s="19"/>
      <c r="V67" s="100" t="s">
        <v>217</v>
      </c>
      <c r="W67" s="101">
        <v>0.0</v>
      </c>
      <c r="X67" s="100"/>
      <c r="Y67" s="100" t="s">
        <v>231</v>
      </c>
      <c r="Z67" s="101">
        <v>0.0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6"/>
      <c r="S68" s="9"/>
      <c r="T68" s="9"/>
      <c r="U68" s="9"/>
      <c r="V68" s="100" t="s">
        <v>235</v>
      </c>
      <c r="W68" s="101">
        <v>12.0</v>
      </c>
      <c r="X68" s="100"/>
      <c r="Y68" s="100" t="s">
        <v>237</v>
      </c>
      <c r="Z68" s="101">
        <v>5.0</v>
      </c>
    </row>
    <row r="69" ht="12.75" customHeight="1">
      <c r="A69" s="9" t="s">
        <v>135</v>
      </c>
      <c r="B69" s="2"/>
      <c r="C69" s="3"/>
      <c r="D69" s="9" t="s">
        <v>271</v>
      </c>
      <c r="E69" s="2"/>
      <c r="F69" s="6"/>
      <c r="G69" s="9" t="s">
        <v>272</v>
      </c>
      <c r="H69" s="2"/>
      <c r="I69" s="6"/>
      <c r="J69" s="9" t="s">
        <v>273</v>
      </c>
      <c r="K69" s="2"/>
      <c r="L69" s="6"/>
      <c r="M69" s="9" t="s">
        <v>274</v>
      </c>
      <c r="N69" s="2"/>
      <c r="O69" s="6"/>
      <c r="P69" s="9" t="s">
        <v>275</v>
      </c>
      <c r="Q69" s="2"/>
      <c r="R69" s="6"/>
      <c r="S69" s="9" t="s">
        <v>276</v>
      </c>
      <c r="T69" s="9"/>
      <c r="U69" s="9"/>
      <c r="V69" s="100" t="s">
        <v>247</v>
      </c>
      <c r="W69" s="101">
        <v>0.0</v>
      </c>
      <c r="X69" s="100"/>
      <c r="Y69" s="100" t="s">
        <v>249</v>
      </c>
      <c r="Z69" s="101">
        <v>10.0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277</v>
      </c>
      <c r="K70" s="2"/>
      <c r="L70" s="6"/>
      <c r="M70" s="9" t="s">
        <v>95</v>
      </c>
      <c r="N70" s="2"/>
      <c r="O70" s="6"/>
      <c r="P70" s="9"/>
      <c r="Q70" s="2"/>
      <c r="R70" s="6"/>
      <c r="S70" s="9"/>
      <c r="T70" s="9"/>
      <c r="U70" s="9"/>
      <c r="V70" s="100" t="s">
        <v>259</v>
      </c>
      <c r="W70" s="101">
        <v>5.0</v>
      </c>
      <c r="X70" s="100"/>
      <c r="Y70" s="100" t="s">
        <v>261</v>
      </c>
      <c r="Z70" s="101">
        <v>5.0</v>
      </c>
    </row>
    <row r="71" ht="12.75" customHeight="1">
      <c r="A71" s="9"/>
      <c r="B71" s="2"/>
      <c r="C71" s="3"/>
      <c r="D71" s="9"/>
      <c r="E71" s="2"/>
      <c r="F71" s="6"/>
      <c r="G71" s="28"/>
      <c r="H71" s="2"/>
      <c r="I71" s="6"/>
      <c r="J71" s="28"/>
      <c r="K71" s="2"/>
      <c r="L71" s="6"/>
      <c r="M71" s="28"/>
      <c r="N71" s="2"/>
      <c r="O71" s="6"/>
      <c r="P71" s="28"/>
      <c r="Q71" s="2"/>
      <c r="R71" s="6"/>
      <c r="S71" s="28"/>
      <c r="T71" s="9"/>
      <c r="U71" s="9"/>
      <c r="V71" s="100"/>
      <c r="W71" s="101">
        <v>41.0</v>
      </c>
      <c r="X71" s="100"/>
      <c r="Y71" s="100"/>
      <c r="Z71" s="101">
        <v>30.0</v>
      </c>
    </row>
    <row r="72" ht="12.75" customHeight="1">
      <c r="A72" s="9" t="s">
        <v>143</v>
      </c>
      <c r="B72" s="2"/>
      <c r="C72" s="3"/>
      <c r="D72" s="18"/>
      <c r="F72" s="29"/>
      <c r="G72" s="27"/>
      <c r="H72" s="25"/>
      <c r="J72" s="27"/>
      <c r="K72" s="26"/>
      <c r="M72" s="27"/>
      <c r="N72" s="26"/>
      <c r="P72" s="27"/>
      <c r="Q72" s="25"/>
      <c r="R72" s="30"/>
      <c r="S72" s="27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29"/>
      <c r="G73" s="27"/>
      <c r="H73" s="25"/>
      <c r="J73" s="27"/>
      <c r="K73" s="26"/>
      <c r="M73" s="27"/>
      <c r="N73" s="28"/>
      <c r="P73" s="27"/>
      <c r="Q73" s="25"/>
      <c r="R73" s="30"/>
      <c r="S73" s="25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29"/>
      <c r="G74" s="25"/>
      <c r="H74" s="25"/>
      <c r="J74" s="27"/>
      <c r="K74" s="26"/>
      <c r="M74" s="27"/>
      <c r="N74" s="26"/>
      <c r="P74" s="27"/>
      <c r="Q74" s="25"/>
      <c r="R74" s="30"/>
      <c r="S74" s="25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2.57"/>
    <col customWidth="1" min="23" max="23" width="4.0"/>
    <col customWidth="1" min="24" max="24" width="3.0"/>
    <col customWidth="1" min="25" max="25" width="24.0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8" t="s">
        <v>327</v>
      </c>
      <c r="W1" s="99"/>
      <c r="X1" s="98"/>
      <c r="Y1" s="98" t="s">
        <v>328</v>
      </c>
      <c r="Z1" s="99"/>
    </row>
    <row r="2" ht="12.75" customHeight="1">
      <c r="A2" s="9" t="s">
        <v>6</v>
      </c>
      <c r="B2" s="10">
        <v>2.0</v>
      </c>
      <c r="C2" s="14" t="s">
        <v>9</v>
      </c>
      <c r="D2" s="1" t="s">
        <v>7</v>
      </c>
      <c r="E2" s="10" t="s">
        <v>345</v>
      </c>
      <c r="F2" s="14"/>
      <c r="G2" s="12" t="s">
        <v>8</v>
      </c>
      <c r="H2" s="10">
        <v>25.0</v>
      </c>
      <c r="I2" s="14" t="s">
        <v>9</v>
      </c>
      <c r="J2" s="1" t="s">
        <v>10</v>
      </c>
      <c r="K2" s="10">
        <v>24.0</v>
      </c>
      <c r="L2" s="14" t="s">
        <v>9</v>
      </c>
      <c r="M2" s="5" t="s">
        <v>11</v>
      </c>
      <c r="N2" s="10">
        <v>18.0</v>
      </c>
      <c r="O2" s="14" t="s">
        <v>9</v>
      </c>
      <c r="P2" s="9" t="s">
        <v>12</v>
      </c>
      <c r="Q2" s="10">
        <v>0.0</v>
      </c>
      <c r="R2" s="14" t="s">
        <v>9</v>
      </c>
      <c r="S2" s="5" t="s">
        <v>13</v>
      </c>
      <c r="T2" s="9"/>
      <c r="U2" s="9"/>
      <c r="V2" s="100" t="s">
        <v>160</v>
      </c>
      <c r="W2" s="101">
        <v>20.0</v>
      </c>
      <c r="X2" s="100"/>
      <c r="Y2" s="100" t="s">
        <v>155</v>
      </c>
      <c r="Z2" s="101">
        <v>19.0</v>
      </c>
    </row>
    <row r="3" ht="12.75" customHeight="1">
      <c r="A3" s="9"/>
      <c r="B3" s="10" t="s">
        <v>345</v>
      </c>
      <c r="C3" s="14"/>
      <c r="D3" s="9" t="s">
        <v>14</v>
      </c>
      <c r="E3" s="10">
        <v>26.0</v>
      </c>
      <c r="F3" s="14" t="s">
        <v>9</v>
      </c>
      <c r="G3" s="5" t="s">
        <v>15</v>
      </c>
      <c r="H3" s="10" t="s">
        <v>345</v>
      </c>
      <c r="I3" s="14"/>
      <c r="J3" s="9" t="s">
        <v>16</v>
      </c>
      <c r="K3" s="10" t="s">
        <v>345</v>
      </c>
      <c r="L3" s="14"/>
      <c r="M3" s="9" t="s">
        <v>17</v>
      </c>
      <c r="N3" s="10" t="s">
        <v>345</v>
      </c>
      <c r="O3" s="14"/>
      <c r="P3" s="9" t="s">
        <v>18</v>
      </c>
      <c r="Q3" s="10" t="s">
        <v>345</v>
      </c>
      <c r="R3" s="14"/>
      <c r="S3" s="9" t="s">
        <v>346</v>
      </c>
      <c r="T3" s="9"/>
      <c r="U3" s="9"/>
      <c r="V3" s="100" t="s">
        <v>172</v>
      </c>
      <c r="W3" s="101">
        <v>23.0</v>
      </c>
      <c r="X3" s="100"/>
      <c r="Y3" s="100" t="s">
        <v>173</v>
      </c>
      <c r="Z3" s="101">
        <v>14.0</v>
      </c>
    </row>
    <row r="4" ht="12.75" customHeight="1">
      <c r="A4" s="9"/>
      <c r="B4" s="10" t="s">
        <v>345</v>
      </c>
      <c r="C4" s="14"/>
      <c r="D4" s="12" t="s">
        <v>20</v>
      </c>
      <c r="E4" s="10" t="s">
        <v>345</v>
      </c>
      <c r="F4" s="14"/>
      <c r="G4" s="12" t="s">
        <v>165</v>
      </c>
      <c r="H4" s="10" t="s">
        <v>345</v>
      </c>
      <c r="I4" s="14"/>
      <c r="J4" s="12" t="s">
        <v>22</v>
      </c>
      <c r="K4" s="10" t="s">
        <v>345</v>
      </c>
      <c r="L4" s="14"/>
      <c r="M4" s="12" t="s">
        <v>23</v>
      </c>
      <c r="N4" s="10" t="s">
        <v>345</v>
      </c>
      <c r="O4" s="14"/>
      <c r="P4" s="12" t="s">
        <v>374</v>
      </c>
      <c r="Q4" s="10" t="s">
        <v>345</v>
      </c>
      <c r="R4" s="14"/>
      <c r="S4" s="12" t="s">
        <v>347</v>
      </c>
      <c r="T4" s="9"/>
      <c r="U4" s="9"/>
      <c r="V4" s="100" t="s">
        <v>178</v>
      </c>
      <c r="W4" s="101">
        <v>12.0</v>
      </c>
      <c r="X4" s="100"/>
      <c r="Y4" s="100" t="s">
        <v>191</v>
      </c>
      <c r="Z4" s="101">
        <v>6.0</v>
      </c>
    </row>
    <row r="5" ht="12.75" customHeight="1">
      <c r="A5" s="9"/>
      <c r="B5" s="10"/>
      <c r="C5" s="3"/>
      <c r="D5" s="9"/>
      <c r="E5" s="10"/>
      <c r="F5" s="3"/>
      <c r="G5" s="9"/>
      <c r="H5" s="10" t="s">
        <v>345</v>
      </c>
      <c r="I5" s="3"/>
      <c r="J5" s="9"/>
      <c r="K5" s="10"/>
      <c r="L5" s="3"/>
      <c r="M5" s="9"/>
      <c r="N5" s="10"/>
      <c r="O5" s="3"/>
      <c r="P5" s="9"/>
      <c r="Q5" s="10"/>
      <c r="R5" s="3"/>
      <c r="S5" s="9"/>
      <c r="T5" s="9"/>
      <c r="U5" s="9"/>
      <c r="V5" s="100" t="s">
        <v>196</v>
      </c>
      <c r="W5" s="101">
        <v>2.0</v>
      </c>
      <c r="X5" s="100"/>
      <c r="Y5" s="100" t="s">
        <v>203</v>
      </c>
      <c r="Z5" s="101">
        <v>0.0</v>
      </c>
    </row>
    <row r="6" ht="12.75" customHeight="1">
      <c r="A6" s="9" t="s">
        <v>26</v>
      </c>
      <c r="B6" s="10">
        <v>6.0</v>
      </c>
      <c r="C6" s="14" t="s">
        <v>9</v>
      </c>
      <c r="D6" s="1" t="s">
        <v>27</v>
      </c>
      <c r="E6" s="10" t="s">
        <v>345</v>
      </c>
      <c r="F6" s="14"/>
      <c r="G6" s="9" t="s">
        <v>28</v>
      </c>
      <c r="H6" s="10" t="s">
        <v>345</v>
      </c>
      <c r="I6" s="14"/>
      <c r="J6" s="12" t="s">
        <v>29</v>
      </c>
      <c r="K6" s="10">
        <v>6.0</v>
      </c>
      <c r="L6" s="14" t="s">
        <v>9</v>
      </c>
      <c r="M6" s="5" t="s">
        <v>30</v>
      </c>
      <c r="N6" s="10" t="s">
        <v>345</v>
      </c>
      <c r="O6" s="14"/>
      <c r="P6" s="9" t="s">
        <v>31</v>
      </c>
      <c r="Q6" s="10" t="s">
        <v>345</v>
      </c>
      <c r="R6" s="14"/>
      <c r="S6" s="12" t="s">
        <v>32</v>
      </c>
      <c r="T6" s="9"/>
      <c r="U6" s="9"/>
      <c r="V6" s="100" t="s">
        <v>208</v>
      </c>
      <c r="W6" s="101">
        <v>2.0</v>
      </c>
      <c r="X6" s="100"/>
      <c r="Y6" s="100" t="s">
        <v>209</v>
      </c>
      <c r="Z6" s="101">
        <v>3.0</v>
      </c>
    </row>
    <row r="7" ht="12.75" customHeight="1">
      <c r="A7" s="9"/>
      <c r="B7" s="10" t="s">
        <v>345</v>
      </c>
      <c r="C7" s="14"/>
      <c r="D7" s="12" t="s">
        <v>33</v>
      </c>
      <c r="E7" s="10">
        <v>6.0</v>
      </c>
      <c r="F7" s="14" t="s">
        <v>9</v>
      </c>
      <c r="G7" s="5" t="s">
        <v>34</v>
      </c>
      <c r="H7" s="10">
        <v>0.0</v>
      </c>
      <c r="I7" s="14" t="s">
        <v>9</v>
      </c>
      <c r="J7" s="5" t="s">
        <v>35</v>
      </c>
      <c r="K7" s="10" t="s">
        <v>345</v>
      </c>
      <c r="L7" s="14"/>
      <c r="M7" s="9" t="s">
        <v>36</v>
      </c>
      <c r="N7" s="10">
        <v>3.0</v>
      </c>
      <c r="O7" s="14" t="s">
        <v>9</v>
      </c>
      <c r="P7" s="5" t="s">
        <v>375</v>
      </c>
      <c r="Q7" s="10" t="s">
        <v>345</v>
      </c>
      <c r="R7" s="14"/>
      <c r="S7" s="12" t="s">
        <v>38</v>
      </c>
      <c r="T7" s="9"/>
      <c r="U7" s="9"/>
      <c r="V7" s="100" t="s">
        <v>220</v>
      </c>
      <c r="W7" s="101">
        <v>6.0</v>
      </c>
      <c r="X7" s="100"/>
      <c r="Y7" s="100" t="s">
        <v>221</v>
      </c>
      <c r="Z7" s="101">
        <v>0.0</v>
      </c>
    </row>
    <row r="8" ht="12.75" customHeight="1">
      <c r="A8" s="9"/>
      <c r="B8" s="10">
        <v>0.0</v>
      </c>
      <c r="C8" s="14" t="s">
        <v>9</v>
      </c>
      <c r="D8" s="5" t="s">
        <v>39</v>
      </c>
      <c r="E8" s="10">
        <v>0.0</v>
      </c>
      <c r="F8" s="14" t="s">
        <v>9</v>
      </c>
      <c r="G8" s="1" t="s">
        <v>351</v>
      </c>
      <c r="H8" s="10">
        <v>0.0</v>
      </c>
      <c r="I8" s="14" t="s">
        <v>9</v>
      </c>
      <c r="J8" s="1" t="s">
        <v>352</v>
      </c>
      <c r="K8" s="10">
        <v>0.0</v>
      </c>
      <c r="L8" s="14" t="s">
        <v>9</v>
      </c>
      <c r="M8" s="5" t="s">
        <v>42</v>
      </c>
      <c r="N8" s="10" t="s">
        <v>345</v>
      </c>
      <c r="O8" s="14"/>
      <c r="P8" s="25" t="s">
        <v>43</v>
      </c>
      <c r="Q8" s="10">
        <v>0.0</v>
      </c>
      <c r="R8" s="14" t="s">
        <v>9</v>
      </c>
      <c r="S8" s="5" t="s">
        <v>372</v>
      </c>
      <c r="T8" s="9"/>
      <c r="U8" s="9"/>
      <c r="V8" s="100" t="s">
        <v>345</v>
      </c>
      <c r="W8" s="101">
        <v>0.0</v>
      </c>
      <c r="X8" s="100"/>
      <c r="Y8" s="100" t="s">
        <v>239</v>
      </c>
      <c r="Z8" s="101">
        <v>10.0</v>
      </c>
    </row>
    <row r="9" ht="12.75" customHeight="1">
      <c r="A9" s="9"/>
      <c r="B9" s="10" t="s">
        <v>345</v>
      </c>
      <c r="C9" s="14"/>
      <c r="D9" s="12" t="s">
        <v>45</v>
      </c>
      <c r="E9" s="10" t="s">
        <v>345</v>
      </c>
      <c r="F9" s="14"/>
      <c r="G9" s="12" t="s">
        <v>46</v>
      </c>
      <c r="H9" s="10" t="s">
        <v>345</v>
      </c>
      <c r="I9" s="14"/>
      <c r="J9" s="12" t="s">
        <v>41</v>
      </c>
      <c r="K9" s="10" t="s">
        <v>345</v>
      </c>
      <c r="L9" s="14"/>
      <c r="M9" s="12" t="s">
        <v>48</v>
      </c>
      <c r="N9" s="10">
        <v>0.0</v>
      </c>
      <c r="O9" s="14" t="s">
        <v>9</v>
      </c>
      <c r="P9" s="15" t="s">
        <v>373</v>
      </c>
      <c r="Q9" s="10">
        <v>0.0</v>
      </c>
      <c r="R9" s="14" t="s">
        <v>9</v>
      </c>
      <c r="S9" s="5" t="s">
        <v>50</v>
      </c>
      <c r="T9" s="9"/>
      <c r="U9" s="9"/>
      <c r="V9" s="100" t="s">
        <v>256</v>
      </c>
      <c r="W9" s="101">
        <v>11.0</v>
      </c>
      <c r="X9" s="100"/>
      <c r="Y9" s="100" t="s">
        <v>251</v>
      </c>
      <c r="Z9" s="101">
        <v>19.0</v>
      </c>
    </row>
    <row r="10" ht="12.75" customHeight="1">
      <c r="A10" s="9"/>
      <c r="B10" s="10"/>
      <c r="C10" s="3"/>
      <c r="D10" s="9"/>
      <c r="E10" s="10"/>
      <c r="F10" s="3"/>
      <c r="G10" s="9"/>
      <c r="H10" s="10" t="s">
        <v>345</v>
      </c>
      <c r="I10" s="3"/>
      <c r="J10" s="9"/>
      <c r="K10" s="10"/>
      <c r="L10" s="3"/>
      <c r="M10" s="9"/>
      <c r="N10" s="10"/>
      <c r="O10" s="3"/>
      <c r="P10" s="9"/>
      <c r="Q10" s="10"/>
      <c r="R10" s="3"/>
      <c r="S10" s="9"/>
      <c r="T10" s="9"/>
      <c r="U10" s="9"/>
      <c r="V10" s="100" t="s">
        <v>262</v>
      </c>
      <c r="W10" s="101">
        <v>5.0</v>
      </c>
      <c r="X10" s="100"/>
      <c r="Y10" s="100" t="s">
        <v>263</v>
      </c>
      <c r="Z10" s="101">
        <v>0.0</v>
      </c>
    </row>
    <row r="11" ht="12.75" customHeight="1">
      <c r="A11" s="9" t="s">
        <v>51</v>
      </c>
      <c r="B11" s="10">
        <v>0.0</v>
      </c>
      <c r="C11" s="14" t="s">
        <v>9</v>
      </c>
      <c r="D11" s="1" t="s">
        <v>52</v>
      </c>
      <c r="E11" s="10">
        <v>6.0</v>
      </c>
      <c r="F11" s="14" t="s">
        <v>9</v>
      </c>
      <c r="G11" s="1" t="s">
        <v>53</v>
      </c>
      <c r="H11" s="10">
        <v>2.0</v>
      </c>
      <c r="I11" s="14" t="s">
        <v>9</v>
      </c>
      <c r="J11" s="1" t="s">
        <v>54</v>
      </c>
      <c r="K11" s="10">
        <v>0.0</v>
      </c>
      <c r="L11" s="14" t="s">
        <v>9</v>
      </c>
      <c r="M11" s="5" t="s">
        <v>55</v>
      </c>
      <c r="N11" s="10" t="s">
        <v>345</v>
      </c>
      <c r="O11" s="14"/>
      <c r="P11" s="9" t="s">
        <v>56</v>
      </c>
      <c r="Q11" s="10" t="s">
        <v>345</v>
      </c>
      <c r="R11" s="14"/>
      <c r="S11" s="12" t="s">
        <v>57</v>
      </c>
      <c r="T11" s="9"/>
      <c r="U11" s="9"/>
      <c r="V11" s="100"/>
      <c r="W11" s="101">
        <v>81.0</v>
      </c>
      <c r="X11" s="100"/>
      <c r="Y11" s="100"/>
      <c r="Z11" s="101">
        <v>71.0</v>
      </c>
    </row>
    <row r="12" ht="12.75" customHeight="1">
      <c r="A12" s="9"/>
      <c r="B12" s="10" t="s">
        <v>345</v>
      </c>
      <c r="C12" s="14"/>
      <c r="D12" s="9" t="s">
        <v>58</v>
      </c>
      <c r="E12" s="10" t="s">
        <v>345</v>
      </c>
      <c r="F12" s="14"/>
      <c r="G12" s="9" t="s">
        <v>59</v>
      </c>
      <c r="H12" s="10" t="s">
        <v>345</v>
      </c>
      <c r="I12" s="14"/>
      <c r="J12" s="12" t="s">
        <v>60</v>
      </c>
      <c r="K12" s="10" t="s">
        <v>345</v>
      </c>
      <c r="L12" s="14"/>
      <c r="M12" s="9" t="s">
        <v>61</v>
      </c>
      <c r="N12" s="10" t="s">
        <v>345</v>
      </c>
      <c r="O12" s="14"/>
      <c r="P12" s="9" t="s">
        <v>62</v>
      </c>
      <c r="Q12" s="10">
        <v>8.0</v>
      </c>
      <c r="R12" s="14" t="s">
        <v>9</v>
      </c>
      <c r="S12" s="1" t="s">
        <v>63</v>
      </c>
      <c r="T12" s="9"/>
      <c r="U12" s="9"/>
      <c r="V12" s="100"/>
      <c r="W12" s="101"/>
      <c r="X12" s="100"/>
      <c r="Y12" s="100"/>
      <c r="Z12" s="101"/>
    </row>
    <row r="13" ht="12.75" customHeight="1">
      <c r="A13" s="9"/>
      <c r="B13" s="10" t="s">
        <v>345</v>
      </c>
      <c r="C13" s="14"/>
      <c r="D13" s="12" t="s">
        <v>64</v>
      </c>
      <c r="E13" s="10" t="s">
        <v>345</v>
      </c>
      <c r="F13" s="14"/>
      <c r="G13" s="12" t="s">
        <v>354</v>
      </c>
      <c r="H13" s="10">
        <v>0.0</v>
      </c>
      <c r="I13" s="14" t="s">
        <v>9</v>
      </c>
      <c r="J13" s="5" t="s">
        <v>66</v>
      </c>
      <c r="K13" s="10" t="s">
        <v>345</v>
      </c>
      <c r="L13" s="14"/>
      <c r="M13" s="9" t="s">
        <v>67</v>
      </c>
      <c r="N13" s="10">
        <v>6.0</v>
      </c>
      <c r="O13" s="14" t="s">
        <v>9</v>
      </c>
      <c r="P13" s="5" t="s">
        <v>376</v>
      </c>
      <c r="Q13" s="10" t="s">
        <v>345</v>
      </c>
      <c r="R13" s="14"/>
      <c r="S13" s="17" t="s">
        <v>69</v>
      </c>
      <c r="T13" s="9"/>
      <c r="U13" s="9"/>
      <c r="V13" s="98" t="s">
        <v>322</v>
      </c>
      <c r="W13" s="99"/>
      <c r="X13" s="98"/>
      <c r="Y13" s="98" t="s">
        <v>329</v>
      </c>
      <c r="Z13" s="99"/>
    </row>
    <row r="14" ht="12.75" customHeight="1">
      <c r="A14" s="9"/>
      <c r="B14" s="10">
        <v>0.0</v>
      </c>
      <c r="C14" s="14" t="s">
        <v>9</v>
      </c>
      <c r="D14" s="5" t="s">
        <v>377</v>
      </c>
      <c r="E14" s="10">
        <v>2.0</v>
      </c>
      <c r="F14" s="14" t="s">
        <v>9</v>
      </c>
      <c r="G14" s="5" t="s">
        <v>71</v>
      </c>
      <c r="H14" s="10" t="s">
        <v>345</v>
      </c>
      <c r="I14" s="14"/>
      <c r="J14" s="12" t="s">
        <v>72</v>
      </c>
      <c r="K14" s="10">
        <v>0.0</v>
      </c>
      <c r="L14" s="14" t="s">
        <v>9</v>
      </c>
      <c r="M14" s="5" t="s">
        <v>73</v>
      </c>
      <c r="N14" s="10">
        <v>0.0</v>
      </c>
      <c r="O14" s="14" t="s">
        <v>9</v>
      </c>
      <c r="P14" s="5" t="s">
        <v>378</v>
      </c>
      <c r="Q14" s="10">
        <v>0.0</v>
      </c>
      <c r="R14" s="14" t="s">
        <v>9</v>
      </c>
      <c r="S14" s="5" t="s">
        <v>75</v>
      </c>
      <c r="T14" s="9"/>
      <c r="U14" s="9"/>
      <c r="V14" s="100" t="s">
        <v>12</v>
      </c>
      <c r="W14" s="101">
        <v>18.0</v>
      </c>
      <c r="X14" s="100"/>
      <c r="Y14" s="100" t="s">
        <v>168</v>
      </c>
      <c r="Z14" s="101">
        <v>21.0</v>
      </c>
    </row>
    <row r="15" ht="12.75" customHeight="1">
      <c r="A15" s="9"/>
      <c r="B15" s="10"/>
      <c r="C15" s="3"/>
      <c r="D15" s="9"/>
      <c r="E15" s="10"/>
      <c r="F15" s="3"/>
      <c r="G15" s="9"/>
      <c r="H15" s="10" t="s">
        <v>345</v>
      </c>
      <c r="I15" s="3"/>
      <c r="J15" s="9"/>
      <c r="K15" s="10"/>
      <c r="L15" s="3"/>
      <c r="M15" s="9"/>
      <c r="N15" s="10"/>
      <c r="O15" s="3"/>
      <c r="P15" s="9"/>
      <c r="Q15" s="10"/>
      <c r="R15" s="3"/>
      <c r="S15" s="9"/>
      <c r="T15" s="9"/>
      <c r="U15" s="9"/>
      <c r="V15" s="100" t="s">
        <v>375</v>
      </c>
      <c r="W15" s="101">
        <v>3.0</v>
      </c>
      <c r="X15" s="100"/>
      <c r="Y15" s="100" t="s">
        <v>174</v>
      </c>
      <c r="Z15" s="101">
        <v>17.0</v>
      </c>
    </row>
    <row r="16" ht="12.75" customHeight="1">
      <c r="A16" s="9" t="s">
        <v>76</v>
      </c>
      <c r="B16" s="10" t="s">
        <v>345</v>
      </c>
      <c r="C16" s="14"/>
      <c r="D16" s="9" t="s">
        <v>357</v>
      </c>
      <c r="E16" s="10" t="s">
        <v>345</v>
      </c>
      <c r="F16" s="14"/>
      <c r="G16" s="12" t="s">
        <v>78</v>
      </c>
      <c r="H16" s="10" t="s">
        <v>345</v>
      </c>
      <c r="I16" s="14"/>
      <c r="J16" s="9" t="s">
        <v>79</v>
      </c>
      <c r="K16" s="10" t="s">
        <v>345</v>
      </c>
      <c r="L16" s="14"/>
      <c r="M16" s="9" t="s">
        <v>86</v>
      </c>
      <c r="N16" s="10" t="s">
        <v>345</v>
      </c>
      <c r="O16" s="14"/>
      <c r="P16" s="12" t="s">
        <v>81</v>
      </c>
      <c r="Q16" s="10" t="s">
        <v>345</v>
      </c>
      <c r="R16" s="14"/>
      <c r="S16" s="9" t="s">
        <v>80</v>
      </c>
      <c r="T16" s="9"/>
      <c r="U16" s="9"/>
      <c r="V16" s="100" t="s">
        <v>373</v>
      </c>
      <c r="W16" s="101">
        <v>0.0</v>
      </c>
      <c r="X16" s="100"/>
      <c r="Y16" s="100" t="s">
        <v>186</v>
      </c>
      <c r="Z16" s="101">
        <v>22.0</v>
      </c>
    </row>
    <row r="17" ht="12.75" customHeight="1">
      <c r="A17" s="9"/>
      <c r="B17" s="10">
        <v>0.0</v>
      </c>
      <c r="C17" s="14" t="s">
        <v>9</v>
      </c>
      <c r="D17" s="5" t="s">
        <v>77</v>
      </c>
      <c r="E17" s="10">
        <v>2.0</v>
      </c>
      <c r="F17" s="14" t="s">
        <v>9</v>
      </c>
      <c r="G17" s="1" t="s">
        <v>358</v>
      </c>
      <c r="H17" s="10" t="s">
        <v>345</v>
      </c>
      <c r="I17" s="14"/>
      <c r="J17" s="9" t="s">
        <v>85</v>
      </c>
      <c r="K17" s="10" t="s">
        <v>345</v>
      </c>
      <c r="L17" s="14"/>
      <c r="M17" s="12" t="s">
        <v>88</v>
      </c>
      <c r="N17" s="10">
        <v>0.0</v>
      </c>
      <c r="O17" s="14" t="s">
        <v>9</v>
      </c>
      <c r="P17" s="1" t="s">
        <v>90</v>
      </c>
      <c r="Q17" s="10">
        <v>0.0</v>
      </c>
      <c r="R17" s="14" t="s">
        <v>9</v>
      </c>
      <c r="S17" s="5" t="s">
        <v>82</v>
      </c>
      <c r="T17" s="9"/>
      <c r="U17" s="9"/>
      <c r="V17" s="100" t="s">
        <v>376</v>
      </c>
      <c r="W17" s="101">
        <v>6.0</v>
      </c>
      <c r="X17" s="100"/>
      <c r="Y17" s="100" t="s">
        <v>204</v>
      </c>
      <c r="Z17" s="101">
        <v>0.0</v>
      </c>
    </row>
    <row r="18" ht="12.75" customHeight="1">
      <c r="A18" s="9"/>
      <c r="B18" s="10" t="s">
        <v>345</v>
      </c>
      <c r="C18" s="14"/>
      <c r="D18" s="12" t="s">
        <v>93</v>
      </c>
      <c r="E18" s="10" t="s">
        <v>345</v>
      </c>
      <c r="F18" s="14"/>
      <c r="G18" s="12" t="s">
        <v>359</v>
      </c>
      <c r="H18" s="10">
        <v>2.0</v>
      </c>
      <c r="I18" s="14" t="s">
        <v>9</v>
      </c>
      <c r="J18" s="5" t="s">
        <v>91</v>
      </c>
      <c r="K18" s="10">
        <v>0.0</v>
      </c>
      <c r="L18" s="14" t="s">
        <v>9</v>
      </c>
      <c r="M18" s="1" t="s">
        <v>92</v>
      </c>
      <c r="N18" s="10" t="s">
        <v>345</v>
      </c>
      <c r="O18" s="14"/>
      <c r="P18" s="12" t="s">
        <v>87</v>
      </c>
      <c r="Q18" s="10" t="s">
        <v>345</v>
      </c>
      <c r="R18" s="14"/>
      <c r="S18" s="12" t="s">
        <v>94</v>
      </c>
      <c r="T18" s="9"/>
      <c r="U18" s="9"/>
      <c r="V18" s="100" t="s">
        <v>378</v>
      </c>
      <c r="W18" s="101">
        <v>0.0</v>
      </c>
      <c r="X18" s="100"/>
      <c r="Y18" s="100" t="s">
        <v>210</v>
      </c>
      <c r="Z18" s="101">
        <v>0.0</v>
      </c>
    </row>
    <row r="19" ht="12.75" customHeight="1">
      <c r="A19" s="9"/>
      <c r="B19" s="10"/>
      <c r="C19" s="3"/>
      <c r="D19" s="9"/>
      <c r="E19" s="10"/>
      <c r="F19" s="3"/>
      <c r="G19" s="9"/>
      <c r="H19" s="10" t="s">
        <v>345</v>
      </c>
      <c r="I19" s="3"/>
      <c r="J19" s="9" t="s">
        <v>95</v>
      </c>
      <c r="K19" s="10"/>
      <c r="L19" s="3"/>
      <c r="M19" s="9"/>
      <c r="N19" s="10"/>
      <c r="O19" s="3"/>
      <c r="P19" s="9"/>
      <c r="Q19" s="10"/>
      <c r="R19" s="3"/>
      <c r="S19" s="9"/>
      <c r="T19" s="9"/>
      <c r="U19" s="9"/>
      <c r="V19" s="100" t="s">
        <v>90</v>
      </c>
      <c r="W19" s="101">
        <v>0.0</v>
      </c>
      <c r="X19" s="100"/>
      <c r="Y19" s="100" t="s">
        <v>222</v>
      </c>
      <c r="Z19" s="101">
        <v>2.0</v>
      </c>
    </row>
    <row r="20" ht="12.75" customHeight="1">
      <c r="A20" s="9" t="s">
        <v>96</v>
      </c>
      <c r="B20" s="10" t="s">
        <v>345</v>
      </c>
      <c r="C20" s="14"/>
      <c r="D20" s="12" t="s">
        <v>97</v>
      </c>
      <c r="E20" s="10">
        <v>4.0</v>
      </c>
      <c r="F20" s="14" t="s">
        <v>9</v>
      </c>
      <c r="G20" s="5" t="s">
        <v>98</v>
      </c>
      <c r="H20" s="10">
        <v>10.0</v>
      </c>
      <c r="I20" s="14" t="s">
        <v>9</v>
      </c>
      <c r="J20" s="1" t="s">
        <v>99</v>
      </c>
      <c r="K20" s="10">
        <v>16.0</v>
      </c>
      <c r="L20" s="14" t="s">
        <v>9</v>
      </c>
      <c r="M20" s="5" t="s">
        <v>100</v>
      </c>
      <c r="N20" s="10" t="s">
        <v>345</v>
      </c>
      <c r="O20" s="14"/>
      <c r="P20" s="9" t="s">
        <v>360</v>
      </c>
      <c r="Q20" s="10" t="s">
        <v>345</v>
      </c>
      <c r="R20" s="14"/>
      <c r="S20" s="12" t="s">
        <v>361</v>
      </c>
      <c r="T20" s="9"/>
      <c r="U20" s="9"/>
      <c r="V20" s="100" t="s">
        <v>101</v>
      </c>
      <c r="W20" s="101">
        <v>9.0</v>
      </c>
      <c r="X20" s="100"/>
      <c r="Y20" s="100" t="s">
        <v>240</v>
      </c>
      <c r="Z20" s="101">
        <v>4.0</v>
      </c>
    </row>
    <row r="21" ht="12.75" customHeight="1">
      <c r="A21" s="9"/>
      <c r="B21" s="10">
        <v>3.0</v>
      </c>
      <c r="C21" s="14" t="s">
        <v>9</v>
      </c>
      <c r="D21" s="1" t="s">
        <v>103</v>
      </c>
      <c r="E21" s="10" t="s">
        <v>345</v>
      </c>
      <c r="F21" s="14"/>
      <c r="G21" s="12" t="s">
        <v>104</v>
      </c>
      <c r="H21" s="10" t="s">
        <v>345</v>
      </c>
      <c r="I21" s="14"/>
      <c r="J21" s="9" t="s">
        <v>105</v>
      </c>
      <c r="K21" s="10" t="s">
        <v>345</v>
      </c>
      <c r="L21" s="14"/>
      <c r="M21" s="9" t="s">
        <v>106</v>
      </c>
      <c r="N21" s="10">
        <v>9.0</v>
      </c>
      <c r="O21" s="14" t="s">
        <v>9</v>
      </c>
      <c r="P21" s="1" t="s">
        <v>101</v>
      </c>
      <c r="Q21" s="10">
        <v>1.0</v>
      </c>
      <c r="R21" s="14" t="s">
        <v>9</v>
      </c>
      <c r="S21" s="1" t="s">
        <v>102</v>
      </c>
      <c r="T21" s="9"/>
      <c r="U21" s="9"/>
      <c r="V21" s="100" t="s">
        <v>120</v>
      </c>
      <c r="W21" s="101">
        <v>11.0</v>
      </c>
      <c r="X21" s="100"/>
      <c r="Y21" s="100" t="s">
        <v>258</v>
      </c>
      <c r="Z21" s="101">
        <v>5.0</v>
      </c>
    </row>
    <row r="22" ht="12.75" customHeight="1">
      <c r="A22" s="9"/>
      <c r="B22" s="10"/>
      <c r="C22" s="3"/>
      <c r="D22" s="9"/>
      <c r="E22" s="10"/>
      <c r="F22" s="3"/>
      <c r="G22" s="9"/>
      <c r="H22" s="10" t="s">
        <v>345</v>
      </c>
      <c r="I22" s="3"/>
      <c r="J22" s="9"/>
      <c r="K22" s="10"/>
      <c r="L22" s="3"/>
      <c r="M22" s="9"/>
      <c r="N22" s="10"/>
      <c r="O22" s="3"/>
      <c r="P22" s="9"/>
      <c r="Q22" s="10"/>
      <c r="R22" s="3"/>
      <c r="S22" s="9"/>
      <c r="T22" s="9"/>
      <c r="U22" s="9"/>
      <c r="V22" s="100" t="s">
        <v>133</v>
      </c>
      <c r="W22" s="101">
        <v>4.0</v>
      </c>
      <c r="X22" s="100"/>
      <c r="Y22" s="100" t="s">
        <v>270</v>
      </c>
      <c r="Z22" s="101">
        <v>0.0</v>
      </c>
    </row>
    <row r="23" ht="12.75" customHeight="1">
      <c r="A23" s="9" t="s">
        <v>109</v>
      </c>
      <c r="B23" s="10" t="s">
        <v>345</v>
      </c>
      <c r="C23" s="14"/>
      <c r="D23" s="9" t="s">
        <v>110</v>
      </c>
      <c r="E23" s="10">
        <v>6.0</v>
      </c>
      <c r="F23" s="14" t="s">
        <v>9</v>
      </c>
      <c r="G23" s="5" t="s">
        <v>111</v>
      </c>
      <c r="H23" s="10" t="s">
        <v>345</v>
      </c>
      <c r="I23" s="14"/>
      <c r="J23" s="9" t="s">
        <v>112</v>
      </c>
      <c r="K23" s="10" t="s">
        <v>345</v>
      </c>
      <c r="L23" s="14"/>
      <c r="M23" s="9" t="s">
        <v>113</v>
      </c>
      <c r="N23" s="10" t="s">
        <v>345</v>
      </c>
      <c r="O23" s="14"/>
      <c r="P23" s="9" t="s">
        <v>114</v>
      </c>
      <c r="Q23" s="10">
        <v>23.0</v>
      </c>
      <c r="R23" s="14" t="s">
        <v>9</v>
      </c>
      <c r="S23" s="5" t="s">
        <v>115</v>
      </c>
      <c r="T23" s="9"/>
      <c r="U23" s="9"/>
      <c r="V23" s="100"/>
      <c r="W23" s="101">
        <v>51.0</v>
      </c>
      <c r="X23" s="100"/>
      <c r="Y23" s="100"/>
      <c r="Z23" s="101">
        <v>71.0</v>
      </c>
    </row>
    <row r="24" ht="12.75" customHeight="1">
      <c r="A24" s="9"/>
      <c r="B24" s="10">
        <v>6.0</v>
      </c>
      <c r="C24" s="14" t="s">
        <v>9</v>
      </c>
      <c r="D24" s="1" t="s">
        <v>116</v>
      </c>
      <c r="E24" s="10" t="s">
        <v>345</v>
      </c>
      <c r="F24" s="14"/>
      <c r="G24" s="12" t="s">
        <v>117</v>
      </c>
      <c r="H24" s="10">
        <v>0.0</v>
      </c>
      <c r="I24" s="14" t="s">
        <v>9</v>
      </c>
      <c r="J24" s="1" t="s">
        <v>118</v>
      </c>
      <c r="K24" s="10" t="s">
        <v>345</v>
      </c>
      <c r="L24" s="14"/>
      <c r="M24" s="12" t="s">
        <v>121</v>
      </c>
      <c r="N24" s="10">
        <v>11.0</v>
      </c>
      <c r="O24" s="14" t="s">
        <v>9</v>
      </c>
      <c r="P24" s="1" t="s">
        <v>120</v>
      </c>
      <c r="Q24" s="10" t="s">
        <v>345</v>
      </c>
      <c r="R24" s="14"/>
      <c r="S24" s="12" t="s">
        <v>362</v>
      </c>
      <c r="T24" s="9"/>
      <c r="U24" s="9"/>
      <c r="V24" s="100"/>
      <c r="W24" s="101"/>
      <c r="X24" s="100"/>
      <c r="Y24" s="100"/>
      <c r="Z24" s="101"/>
    </row>
    <row r="25" ht="12.75" customHeight="1">
      <c r="A25" s="9"/>
      <c r="B25" s="10"/>
      <c r="C25" s="3"/>
      <c r="D25" s="9"/>
      <c r="E25" s="10"/>
      <c r="F25" s="3"/>
      <c r="G25" s="9"/>
      <c r="H25" s="10" t="s">
        <v>345</v>
      </c>
      <c r="I25" s="3"/>
      <c r="J25" s="9"/>
      <c r="K25" s="10"/>
      <c r="L25" s="3"/>
      <c r="M25" s="9"/>
      <c r="N25" s="10"/>
      <c r="O25" s="3"/>
      <c r="P25" s="9"/>
      <c r="Q25" s="10"/>
      <c r="R25" s="3"/>
      <c r="S25" s="9"/>
      <c r="T25" s="9"/>
      <c r="U25" s="9"/>
      <c r="V25" s="98" t="s">
        <v>319</v>
      </c>
      <c r="W25" s="99"/>
      <c r="X25" s="98"/>
      <c r="Y25" s="98" t="s">
        <v>320</v>
      </c>
      <c r="Z25" s="99"/>
    </row>
    <row r="26" ht="12.75" customHeight="1">
      <c r="A26" s="9" t="s">
        <v>122</v>
      </c>
      <c r="B26" s="10" t="s">
        <v>345</v>
      </c>
      <c r="C26" s="14"/>
      <c r="D26" s="12" t="s">
        <v>123</v>
      </c>
      <c r="E26" s="10" t="s">
        <v>345</v>
      </c>
      <c r="F26" s="14"/>
      <c r="G26" s="12" t="s">
        <v>124</v>
      </c>
      <c r="H26" s="10" t="s">
        <v>345</v>
      </c>
      <c r="I26" s="14"/>
      <c r="J26" s="9" t="s">
        <v>125</v>
      </c>
      <c r="K26" s="10">
        <v>0.0</v>
      </c>
      <c r="L26" s="14" t="s">
        <v>9</v>
      </c>
      <c r="M26" s="1" t="s">
        <v>126</v>
      </c>
      <c r="N26" s="10" t="s">
        <v>345</v>
      </c>
      <c r="O26" s="14"/>
      <c r="P26" s="9" t="s">
        <v>127</v>
      </c>
      <c r="Q26" s="10" t="s">
        <v>345</v>
      </c>
      <c r="R26" s="14"/>
      <c r="S26" s="12" t="s">
        <v>128</v>
      </c>
      <c r="T26" s="9"/>
      <c r="U26" s="9"/>
      <c r="V26" s="100" t="s">
        <v>15</v>
      </c>
      <c r="W26" s="101">
        <v>26.0</v>
      </c>
      <c r="X26" s="100"/>
      <c r="Y26" s="100" t="s">
        <v>10</v>
      </c>
      <c r="Z26" s="101">
        <v>25.0</v>
      </c>
    </row>
    <row r="27" ht="12.75" customHeight="1">
      <c r="A27" s="9"/>
      <c r="B27" s="10">
        <v>0.0</v>
      </c>
      <c r="C27" s="14" t="s">
        <v>9</v>
      </c>
      <c r="D27" s="1" t="s">
        <v>129</v>
      </c>
      <c r="E27" s="10">
        <v>4.0</v>
      </c>
      <c r="F27" s="14" t="s">
        <v>9</v>
      </c>
      <c r="G27" s="1" t="s">
        <v>130</v>
      </c>
      <c r="H27" s="10">
        <v>4.0</v>
      </c>
      <c r="I27" s="14" t="s">
        <v>9</v>
      </c>
      <c r="J27" s="5" t="s">
        <v>131</v>
      </c>
      <c r="K27" s="10" t="s">
        <v>345</v>
      </c>
      <c r="L27" s="14"/>
      <c r="M27" s="9" t="s">
        <v>132</v>
      </c>
      <c r="N27" s="10">
        <v>4.0</v>
      </c>
      <c r="O27" s="14" t="s">
        <v>9</v>
      </c>
      <c r="P27" s="5" t="s">
        <v>133</v>
      </c>
      <c r="Q27" s="10">
        <v>5.0</v>
      </c>
      <c r="R27" s="14" t="s">
        <v>9</v>
      </c>
      <c r="S27" s="1" t="s">
        <v>134</v>
      </c>
      <c r="T27" s="9"/>
      <c r="U27" s="9"/>
      <c r="V27" s="100" t="s">
        <v>34</v>
      </c>
      <c r="W27" s="101">
        <v>6.0</v>
      </c>
      <c r="X27" s="100"/>
      <c r="Y27" s="100" t="s">
        <v>35</v>
      </c>
      <c r="Z27" s="101">
        <v>0.0</v>
      </c>
    </row>
    <row r="28" ht="12.75" customHeight="1">
      <c r="A28" s="9"/>
      <c r="B28" s="2"/>
      <c r="C28" s="3"/>
      <c r="D28" s="9"/>
      <c r="E28" s="10"/>
      <c r="F28" s="3"/>
      <c r="G28" s="9"/>
      <c r="H28" s="10"/>
      <c r="I28" s="3"/>
      <c r="J28" s="9"/>
      <c r="K28" s="10"/>
      <c r="L28" s="3"/>
      <c r="M28" s="9"/>
      <c r="N28" s="10"/>
      <c r="O28" s="3"/>
      <c r="P28" s="12" t="s">
        <v>95</v>
      </c>
      <c r="Q28" s="10"/>
      <c r="R28" s="3"/>
      <c r="S28" s="9"/>
      <c r="T28" s="9"/>
      <c r="U28" s="9"/>
      <c r="V28" s="100" t="s">
        <v>351</v>
      </c>
      <c r="W28" s="101">
        <v>0.0</v>
      </c>
      <c r="X28" s="100"/>
      <c r="Y28" s="100" t="s">
        <v>352</v>
      </c>
      <c r="Z28" s="101">
        <v>0.0</v>
      </c>
    </row>
    <row r="29" ht="12.75" customHeight="1">
      <c r="A29" s="19"/>
      <c r="B29" s="20"/>
      <c r="C29" s="21"/>
      <c r="D29" s="22">
        <v>17.0</v>
      </c>
      <c r="E29" s="20"/>
      <c r="F29" s="21"/>
      <c r="G29" s="22">
        <v>56.0</v>
      </c>
      <c r="H29" s="20"/>
      <c r="I29" s="21"/>
      <c r="J29" s="22">
        <v>43.0</v>
      </c>
      <c r="K29" s="20"/>
      <c r="L29" s="21"/>
      <c r="M29" s="22">
        <v>46.0</v>
      </c>
      <c r="N29" s="20"/>
      <c r="O29" s="21"/>
      <c r="P29" s="22">
        <v>51.0</v>
      </c>
      <c r="Q29" s="20"/>
      <c r="R29" s="21"/>
      <c r="S29" s="22">
        <v>37.0</v>
      </c>
      <c r="T29" s="19"/>
      <c r="U29" s="19"/>
      <c r="V29" s="100" t="s">
        <v>53</v>
      </c>
      <c r="W29" s="101">
        <v>6.0</v>
      </c>
      <c r="X29" s="100"/>
      <c r="Y29" s="100" t="s">
        <v>54</v>
      </c>
      <c r="Z29" s="101">
        <v>2.0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6"/>
      <c r="S30" s="9"/>
      <c r="T30" s="9"/>
      <c r="U30" s="9"/>
      <c r="V30" s="100" t="s">
        <v>71</v>
      </c>
      <c r="W30" s="101">
        <v>2.0</v>
      </c>
      <c r="X30" s="100"/>
      <c r="Y30" s="100" t="s">
        <v>66</v>
      </c>
      <c r="Z30" s="101">
        <v>0.0</v>
      </c>
    </row>
    <row r="31" ht="12.75" customHeight="1">
      <c r="A31" s="9" t="s">
        <v>135</v>
      </c>
      <c r="B31" s="2"/>
      <c r="C31" s="3"/>
      <c r="D31" s="9" t="s">
        <v>136</v>
      </c>
      <c r="E31" s="2"/>
      <c r="F31" s="6"/>
      <c r="G31" s="9" t="s">
        <v>137</v>
      </c>
      <c r="H31" s="2"/>
      <c r="I31" s="6"/>
      <c r="J31" s="9" t="s">
        <v>138</v>
      </c>
      <c r="K31" s="2"/>
      <c r="L31" s="6"/>
      <c r="M31" s="9" t="s">
        <v>139</v>
      </c>
      <c r="N31" s="2"/>
      <c r="O31" s="6"/>
      <c r="P31" s="9" t="s">
        <v>140</v>
      </c>
      <c r="Q31" s="2"/>
      <c r="R31" s="6"/>
      <c r="S31" s="9" t="s">
        <v>141</v>
      </c>
      <c r="T31" s="9"/>
      <c r="U31" s="9"/>
      <c r="V31" s="100" t="s">
        <v>358</v>
      </c>
      <c r="W31" s="101">
        <v>2.0</v>
      </c>
      <c r="X31" s="100"/>
      <c r="Y31" s="100" t="s">
        <v>91</v>
      </c>
      <c r="Z31" s="101">
        <v>2.0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142</v>
      </c>
      <c r="Q32" s="2"/>
      <c r="R32" s="6"/>
      <c r="S32" s="9"/>
      <c r="T32" s="9"/>
      <c r="U32" s="9"/>
      <c r="V32" s="100" t="s">
        <v>98</v>
      </c>
      <c r="W32" s="101">
        <v>4.0</v>
      </c>
      <c r="X32" s="100"/>
      <c r="Y32" s="100" t="s">
        <v>99</v>
      </c>
      <c r="Z32" s="101">
        <v>10.0</v>
      </c>
    </row>
    <row r="33" ht="12.75" customHeight="1">
      <c r="A33" s="9"/>
      <c r="B33" s="2"/>
      <c r="C33" s="3"/>
      <c r="D33" s="25"/>
      <c r="E33" s="26"/>
      <c r="F33" s="26"/>
      <c r="G33" s="25"/>
      <c r="H33" s="26"/>
      <c r="I33" s="26"/>
      <c r="J33" s="25"/>
      <c r="K33" s="25"/>
      <c r="L33" s="26"/>
      <c r="M33" s="25"/>
      <c r="P33" s="25"/>
      <c r="R33" s="3"/>
      <c r="S33" s="25"/>
      <c r="T33" s="6"/>
      <c r="U33" s="26"/>
      <c r="V33" s="103" t="s">
        <v>111</v>
      </c>
      <c r="W33" s="101">
        <v>6.0</v>
      </c>
      <c r="X33" s="100"/>
      <c r="Y33" s="100" t="s">
        <v>118</v>
      </c>
      <c r="Z33" s="101">
        <v>0.0</v>
      </c>
    </row>
    <row r="34" ht="12.75" customHeight="1">
      <c r="A34" s="9" t="s">
        <v>143</v>
      </c>
      <c r="B34" s="9"/>
      <c r="C34" s="3"/>
      <c r="D34" s="25"/>
      <c r="E34" s="26"/>
      <c r="F34" s="26"/>
      <c r="G34" s="25"/>
      <c r="H34" s="26"/>
      <c r="I34" s="26"/>
      <c r="J34" s="25"/>
      <c r="K34" s="25"/>
      <c r="L34" s="26"/>
      <c r="M34" s="25"/>
      <c r="P34" s="25"/>
      <c r="R34" s="3"/>
      <c r="S34" s="25"/>
      <c r="T34" s="6"/>
      <c r="U34" s="26"/>
      <c r="V34" s="103" t="s">
        <v>130</v>
      </c>
      <c r="W34" s="101">
        <v>4.0</v>
      </c>
      <c r="X34" s="100"/>
      <c r="Y34" s="100" t="s">
        <v>131</v>
      </c>
      <c r="Z34" s="101">
        <v>4.0</v>
      </c>
    </row>
    <row r="35" ht="12.75" customHeight="1">
      <c r="A35" s="9"/>
      <c r="B35" s="9"/>
      <c r="C35" s="3"/>
      <c r="D35" s="12"/>
      <c r="E35" s="26"/>
      <c r="F35" s="26"/>
      <c r="G35" s="12"/>
      <c r="H35" s="26"/>
      <c r="I35" s="26"/>
      <c r="J35" s="25"/>
      <c r="K35" s="25"/>
      <c r="L35" s="26"/>
      <c r="M35" s="25"/>
      <c r="P35" s="25"/>
      <c r="R35" s="3"/>
      <c r="S35" s="25"/>
      <c r="T35" s="6"/>
      <c r="U35" s="9"/>
      <c r="V35" s="103"/>
      <c r="W35" s="101">
        <v>56.0</v>
      </c>
      <c r="X35" s="100"/>
      <c r="Y35" s="100"/>
      <c r="Z35" s="101">
        <v>43.0</v>
      </c>
    </row>
    <row r="36" ht="12.75" customHeight="1">
      <c r="A36" s="9"/>
      <c r="B36" s="2"/>
      <c r="C36" s="3"/>
      <c r="D36" s="12"/>
      <c r="E36" s="2"/>
      <c r="F36" s="6"/>
      <c r="G36" s="12"/>
      <c r="H36" s="2"/>
      <c r="I36" s="6"/>
      <c r="J36" s="25"/>
      <c r="K36" s="9"/>
      <c r="L36" s="6"/>
      <c r="M36" s="25"/>
      <c r="N36" s="26"/>
      <c r="O36" s="26"/>
      <c r="P36" s="25"/>
      <c r="Q36" s="26"/>
      <c r="R36" s="3"/>
      <c r="S36" s="25"/>
      <c r="T36" s="6"/>
      <c r="U36" s="6"/>
      <c r="V36" s="100"/>
      <c r="W36" s="101"/>
      <c r="X36" s="100"/>
      <c r="Y36" s="100"/>
      <c r="Z36" s="101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6"/>
      <c r="S37" s="9"/>
      <c r="T37" s="9"/>
      <c r="U37" s="9"/>
      <c r="V37" s="98" t="s">
        <v>302</v>
      </c>
      <c r="W37" s="99"/>
      <c r="X37" s="98"/>
      <c r="Y37" s="98" t="s">
        <v>324</v>
      </c>
      <c r="Z37" s="99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6"/>
      <c r="S38" s="9"/>
      <c r="T38" s="9"/>
      <c r="U38" s="9"/>
      <c r="V38" s="100" t="s">
        <v>7</v>
      </c>
      <c r="W38" s="101">
        <v>2.0</v>
      </c>
      <c r="X38" s="100"/>
      <c r="Y38" s="100" t="s">
        <v>151</v>
      </c>
      <c r="Z38" s="101">
        <v>19.0</v>
      </c>
    </row>
    <row r="39" ht="12.75" customHeight="1">
      <c r="A39" s="1" t="s">
        <v>144</v>
      </c>
      <c r="B39" s="2"/>
      <c r="C39" s="3"/>
      <c r="D39" s="5" t="s">
        <v>145</v>
      </c>
      <c r="E39" s="2"/>
      <c r="F39" s="1"/>
      <c r="G39" s="5" t="s">
        <v>146</v>
      </c>
      <c r="H39" s="2"/>
      <c r="I39" s="1"/>
      <c r="J39" s="5" t="s">
        <v>147</v>
      </c>
      <c r="K39" s="2"/>
      <c r="L39" s="1"/>
      <c r="M39" s="5" t="s">
        <v>148</v>
      </c>
      <c r="N39" s="2"/>
      <c r="O39" s="1"/>
      <c r="P39" s="5" t="s">
        <v>149</v>
      </c>
      <c r="Q39" s="2"/>
      <c r="R39" s="6"/>
      <c r="S39" s="5" t="s">
        <v>150</v>
      </c>
      <c r="T39" s="1"/>
      <c r="U39" s="1"/>
      <c r="V39" s="100" t="s">
        <v>27</v>
      </c>
      <c r="W39" s="101">
        <v>6.0</v>
      </c>
      <c r="X39" s="100"/>
      <c r="Y39" s="100" t="s">
        <v>169</v>
      </c>
      <c r="Z39" s="101">
        <v>1.0</v>
      </c>
    </row>
    <row r="40" ht="12.75" customHeight="1">
      <c r="A40" s="9" t="s">
        <v>6</v>
      </c>
      <c r="B40" s="10">
        <v>19.0</v>
      </c>
      <c r="C40" s="14" t="s">
        <v>9</v>
      </c>
      <c r="D40" s="1" t="s">
        <v>151</v>
      </c>
      <c r="E40" s="10" t="s">
        <v>345</v>
      </c>
      <c r="F40" s="14"/>
      <c r="G40" s="9" t="s">
        <v>152</v>
      </c>
      <c r="H40" s="10">
        <v>0.0</v>
      </c>
      <c r="I40" s="14" t="s">
        <v>9</v>
      </c>
      <c r="J40" s="1" t="s">
        <v>153</v>
      </c>
      <c r="K40" s="10" t="s">
        <v>345</v>
      </c>
      <c r="L40" s="14"/>
      <c r="M40" s="9" t="s">
        <v>154</v>
      </c>
      <c r="N40" s="10">
        <v>19.0</v>
      </c>
      <c r="O40" s="14" t="s">
        <v>9</v>
      </c>
      <c r="P40" s="1" t="s">
        <v>155</v>
      </c>
      <c r="Q40" s="10" t="s">
        <v>345</v>
      </c>
      <c r="R40" s="14"/>
      <c r="S40" s="9" t="s">
        <v>156</v>
      </c>
      <c r="T40" s="9"/>
      <c r="U40" s="9"/>
      <c r="V40" s="100" t="s">
        <v>39</v>
      </c>
      <c r="W40" s="101">
        <v>0.0</v>
      </c>
      <c r="X40" s="100"/>
      <c r="Y40" s="100" t="s">
        <v>181</v>
      </c>
      <c r="Z40" s="101">
        <v>0.0</v>
      </c>
    </row>
    <row r="41" ht="12.75" customHeight="1">
      <c r="A41" s="9"/>
      <c r="B41" s="10" t="s">
        <v>345</v>
      </c>
      <c r="C41" s="14"/>
      <c r="D41" s="9" t="s">
        <v>163</v>
      </c>
      <c r="E41" s="10" t="s">
        <v>345</v>
      </c>
      <c r="F41" s="14"/>
      <c r="G41" s="9" t="s">
        <v>158</v>
      </c>
      <c r="H41" s="10" t="s">
        <v>345</v>
      </c>
      <c r="I41" s="14"/>
      <c r="J41" s="12" t="s">
        <v>159</v>
      </c>
      <c r="K41" s="10">
        <v>20.0</v>
      </c>
      <c r="L41" s="14" t="s">
        <v>9</v>
      </c>
      <c r="M41" s="1" t="s">
        <v>160</v>
      </c>
      <c r="N41" s="10" t="s">
        <v>345</v>
      </c>
      <c r="O41" s="14"/>
      <c r="P41" s="12" t="s">
        <v>161</v>
      </c>
      <c r="Q41" s="10" t="s">
        <v>345</v>
      </c>
      <c r="R41" s="14"/>
      <c r="S41" s="9" t="s">
        <v>162</v>
      </c>
      <c r="T41" s="9"/>
      <c r="U41" s="9"/>
      <c r="V41" s="100" t="s">
        <v>52</v>
      </c>
      <c r="W41" s="101">
        <v>0.0</v>
      </c>
      <c r="X41" s="100"/>
      <c r="Y41" s="100" t="s">
        <v>193</v>
      </c>
      <c r="Z41" s="101">
        <v>0.0</v>
      </c>
    </row>
    <row r="42" ht="12.75" customHeight="1">
      <c r="A42" s="9"/>
      <c r="B42" s="10" t="s">
        <v>345</v>
      </c>
      <c r="C42" s="14"/>
      <c r="D42" s="12" t="s">
        <v>157</v>
      </c>
      <c r="E42" s="10">
        <v>8.0</v>
      </c>
      <c r="F42" s="14" t="s">
        <v>9</v>
      </c>
      <c r="G42" s="5" t="s">
        <v>164</v>
      </c>
      <c r="H42" s="10" t="s">
        <v>345</v>
      </c>
      <c r="I42" s="14"/>
      <c r="J42" s="12" t="s">
        <v>365</v>
      </c>
      <c r="K42" s="10" t="s">
        <v>345</v>
      </c>
      <c r="L42" s="14"/>
      <c r="M42" s="12" t="s">
        <v>379</v>
      </c>
      <c r="N42" s="10" t="s">
        <v>345</v>
      </c>
      <c r="O42" s="14"/>
      <c r="P42" s="12" t="s">
        <v>167</v>
      </c>
      <c r="Q42" s="10">
        <v>21.0</v>
      </c>
      <c r="R42" s="14" t="s">
        <v>9</v>
      </c>
      <c r="S42" s="5" t="s">
        <v>168</v>
      </c>
      <c r="T42" s="9"/>
      <c r="U42" s="9"/>
      <c r="V42" s="100" t="s">
        <v>377</v>
      </c>
      <c r="W42" s="101">
        <v>0.0</v>
      </c>
      <c r="X42" s="100"/>
      <c r="Y42" s="100" t="s">
        <v>205</v>
      </c>
      <c r="Z42" s="101">
        <v>8.0</v>
      </c>
    </row>
    <row r="43" ht="12.75" customHeight="1">
      <c r="A43" s="9"/>
      <c r="B43" s="10"/>
      <c r="C43" s="3"/>
      <c r="D43" s="9"/>
      <c r="E43" s="10"/>
      <c r="F43" s="3"/>
      <c r="G43" s="9"/>
      <c r="H43" s="10"/>
      <c r="I43" s="3"/>
      <c r="J43" s="9"/>
      <c r="K43" s="10"/>
      <c r="L43" s="3"/>
      <c r="M43" s="9"/>
      <c r="N43" s="10"/>
      <c r="O43" s="3"/>
      <c r="P43" s="9"/>
      <c r="Q43" s="10"/>
      <c r="R43" s="3"/>
      <c r="S43" s="9"/>
      <c r="T43" s="9"/>
      <c r="U43" s="9"/>
      <c r="V43" s="100" t="s">
        <v>77</v>
      </c>
      <c r="W43" s="101">
        <v>0.0</v>
      </c>
      <c r="X43" s="100"/>
      <c r="Y43" s="100" t="s">
        <v>217</v>
      </c>
      <c r="Z43" s="101">
        <v>6.0</v>
      </c>
    </row>
    <row r="44" ht="12.75" customHeight="1">
      <c r="A44" s="9" t="s">
        <v>26</v>
      </c>
      <c r="B44" s="10">
        <v>1.0</v>
      </c>
      <c r="C44" s="14" t="s">
        <v>9</v>
      </c>
      <c r="D44" s="1" t="s">
        <v>169</v>
      </c>
      <c r="E44" s="10">
        <v>0.0</v>
      </c>
      <c r="F44" s="14" t="s">
        <v>9</v>
      </c>
      <c r="G44" s="1" t="s">
        <v>170</v>
      </c>
      <c r="H44" s="10">
        <v>0.0</v>
      </c>
      <c r="I44" s="14" t="s">
        <v>9</v>
      </c>
      <c r="J44" s="1" t="s">
        <v>171</v>
      </c>
      <c r="K44" s="10">
        <v>23.0</v>
      </c>
      <c r="L44" s="14" t="s">
        <v>9</v>
      </c>
      <c r="M44" s="1" t="s">
        <v>172</v>
      </c>
      <c r="N44" s="10">
        <v>14.0</v>
      </c>
      <c r="O44" s="14" t="s">
        <v>9</v>
      </c>
      <c r="P44" s="5" t="s">
        <v>173</v>
      </c>
      <c r="Q44" s="10">
        <v>17.0</v>
      </c>
      <c r="R44" s="14" t="s">
        <v>9</v>
      </c>
      <c r="S44" s="1" t="s">
        <v>174</v>
      </c>
      <c r="T44" s="9"/>
      <c r="U44" s="9"/>
      <c r="V44" s="100" t="s">
        <v>103</v>
      </c>
      <c r="W44" s="101">
        <v>3.0</v>
      </c>
      <c r="X44" s="100"/>
      <c r="Y44" s="100" t="s">
        <v>235</v>
      </c>
      <c r="Z44" s="101">
        <v>6.0</v>
      </c>
    </row>
    <row r="45" ht="12.75" customHeight="1">
      <c r="A45" s="9"/>
      <c r="B45" s="10" t="s">
        <v>345</v>
      </c>
      <c r="C45" s="14"/>
      <c r="D45" s="9" t="s">
        <v>175</v>
      </c>
      <c r="E45" s="10">
        <v>0.0</v>
      </c>
      <c r="F45" s="14" t="s">
        <v>9</v>
      </c>
      <c r="G45" s="1" t="s">
        <v>176</v>
      </c>
      <c r="H45" s="10" t="s">
        <v>345</v>
      </c>
      <c r="I45" s="14"/>
      <c r="J45" s="12" t="s">
        <v>177</v>
      </c>
      <c r="K45" s="10">
        <v>12.0</v>
      </c>
      <c r="L45" s="14" t="s">
        <v>9</v>
      </c>
      <c r="M45" s="1" t="s">
        <v>178</v>
      </c>
      <c r="N45" s="10" t="s">
        <v>345</v>
      </c>
      <c r="O45" s="14"/>
      <c r="P45" s="9" t="s">
        <v>179</v>
      </c>
      <c r="Q45" s="10" t="s">
        <v>345</v>
      </c>
      <c r="R45" s="14"/>
      <c r="S45" s="9" t="s">
        <v>180</v>
      </c>
      <c r="T45" s="9"/>
      <c r="U45" s="9"/>
      <c r="V45" s="100" t="s">
        <v>116</v>
      </c>
      <c r="W45" s="101">
        <v>6.0</v>
      </c>
      <c r="X45" s="100"/>
      <c r="Y45" s="100" t="s">
        <v>253</v>
      </c>
      <c r="Z45" s="101">
        <v>0.0</v>
      </c>
    </row>
    <row r="46" ht="12.75" customHeight="1">
      <c r="A46" s="9"/>
      <c r="B46" s="10">
        <v>0.0</v>
      </c>
      <c r="C46" s="14" t="s">
        <v>9</v>
      </c>
      <c r="D46" s="5" t="s">
        <v>181</v>
      </c>
      <c r="E46" s="10" t="s">
        <v>345</v>
      </c>
      <c r="F46" s="14"/>
      <c r="G46" s="9" t="s">
        <v>182</v>
      </c>
      <c r="H46" s="10">
        <v>19.0</v>
      </c>
      <c r="I46" s="14" t="s">
        <v>9</v>
      </c>
      <c r="J46" s="5" t="s">
        <v>183</v>
      </c>
      <c r="K46" s="10" t="s">
        <v>345</v>
      </c>
      <c r="L46" s="14"/>
      <c r="M46" s="12" t="s">
        <v>184</v>
      </c>
      <c r="N46" s="10" t="s">
        <v>345</v>
      </c>
      <c r="O46" s="14"/>
      <c r="P46" s="18" t="s">
        <v>185</v>
      </c>
      <c r="Q46" s="10">
        <v>22.0</v>
      </c>
      <c r="R46" s="14" t="s">
        <v>9</v>
      </c>
      <c r="S46" s="5" t="s">
        <v>186</v>
      </c>
      <c r="T46" s="9"/>
      <c r="U46" s="9"/>
      <c r="V46" s="100" t="s">
        <v>129</v>
      </c>
      <c r="W46" s="101">
        <v>0.0</v>
      </c>
      <c r="X46" s="100"/>
      <c r="Y46" s="100" t="s">
        <v>259</v>
      </c>
      <c r="Z46" s="101">
        <v>5.0</v>
      </c>
    </row>
    <row r="47" ht="12.75" customHeight="1">
      <c r="A47" s="9"/>
      <c r="B47" s="10" t="s">
        <v>345</v>
      </c>
      <c r="C47" s="14"/>
      <c r="D47" s="12" t="s">
        <v>366</v>
      </c>
      <c r="E47" s="10" t="s">
        <v>345</v>
      </c>
      <c r="F47" s="14"/>
      <c r="G47" s="12" t="s">
        <v>188</v>
      </c>
      <c r="H47" s="10" t="s">
        <v>345</v>
      </c>
      <c r="I47" s="14"/>
      <c r="J47" s="12" t="s">
        <v>189</v>
      </c>
      <c r="K47" s="10" t="s">
        <v>345</v>
      </c>
      <c r="L47" s="14"/>
      <c r="M47" s="12" t="s">
        <v>380</v>
      </c>
      <c r="N47" s="10">
        <v>6.0</v>
      </c>
      <c r="O47" s="14" t="s">
        <v>9</v>
      </c>
      <c r="P47" s="5" t="s">
        <v>191</v>
      </c>
      <c r="Q47" s="10" t="s">
        <v>345</v>
      </c>
      <c r="R47" s="14"/>
      <c r="S47" s="9" t="s">
        <v>367</v>
      </c>
      <c r="T47" s="9"/>
      <c r="U47" s="9"/>
      <c r="V47" s="100"/>
      <c r="W47" s="101">
        <v>17.0</v>
      </c>
      <c r="X47" s="100"/>
      <c r="Y47" s="100"/>
      <c r="Z47" s="101">
        <v>45.0</v>
      </c>
    </row>
    <row r="48" ht="12.75" customHeight="1">
      <c r="A48" s="9"/>
      <c r="B48" s="10"/>
      <c r="C48" s="3"/>
      <c r="D48" s="9"/>
      <c r="E48" s="10"/>
      <c r="F48" s="3"/>
      <c r="G48" s="9"/>
      <c r="H48" s="10"/>
      <c r="I48" s="3"/>
      <c r="J48" s="9"/>
      <c r="K48" s="10"/>
      <c r="L48" s="3"/>
      <c r="M48" s="9"/>
      <c r="N48" s="10"/>
      <c r="O48" s="3"/>
      <c r="P48" s="9"/>
      <c r="Q48" s="10"/>
      <c r="R48" s="3"/>
      <c r="S48" s="9"/>
      <c r="T48" s="9"/>
      <c r="U48" s="9"/>
      <c r="V48" s="100"/>
      <c r="W48" s="101"/>
      <c r="X48" s="100"/>
      <c r="Y48" s="100"/>
      <c r="Z48" s="101"/>
    </row>
    <row r="49" ht="12.75" customHeight="1">
      <c r="A49" s="9" t="s">
        <v>51</v>
      </c>
      <c r="B49" s="10">
        <v>0.0</v>
      </c>
      <c r="C49" s="14" t="s">
        <v>9</v>
      </c>
      <c r="D49" s="1" t="s">
        <v>193</v>
      </c>
      <c r="E49" s="10">
        <v>8.0</v>
      </c>
      <c r="F49" s="14" t="s">
        <v>9</v>
      </c>
      <c r="G49" s="1" t="s">
        <v>194</v>
      </c>
      <c r="H49" s="10" t="s">
        <v>345</v>
      </c>
      <c r="I49" s="14"/>
      <c r="J49" s="9" t="s">
        <v>364</v>
      </c>
      <c r="K49" s="10">
        <v>2.0</v>
      </c>
      <c r="L49" s="14" t="s">
        <v>9</v>
      </c>
      <c r="M49" s="1" t="s">
        <v>196</v>
      </c>
      <c r="N49" s="10" t="s">
        <v>345</v>
      </c>
      <c r="O49" s="14"/>
      <c r="P49" s="9" t="s">
        <v>197</v>
      </c>
      <c r="Q49" s="10" t="s">
        <v>345</v>
      </c>
      <c r="R49" s="14"/>
      <c r="S49" s="12" t="s">
        <v>198</v>
      </c>
      <c r="T49" s="9"/>
      <c r="U49" s="9"/>
      <c r="V49" s="98" t="s">
        <v>321</v>
      </c>
      <c r="W49" s="99"/>
      <c r="X49" s="98"/>
      <c r="Y49" s="98" t="s">
        <v>325</v>
      </c>
      <c r="Z49" s="99"/>
    </row>
    <row r="50" ht="12.75" customHeight="1">
      <c r="A50" s="9"/>
      <c r="B50" s="10" t="s">
        <v>345</v>
      </c>
      <c r="C50" s="14"/>
      <c r="D50" s="9" t="s">
        <v>199</v>
      </c>
      <c r="E50" s="10">
        <v>8.0</v>
      </c>
      <c r="F50" s="14" t="s">
        <v>9</v>
      </c>
      <c r="G50" s="5" t="s">
        <v>200</v>
      </c>
      <c r="H50" s="10">
        <v>0.0</v>
      </c>
      <c r="I50" s="14" t="s">
        <v>9</v>
      </c>
      <c r="J50" s="1" t="s">
        <v>201</v>
      </c>
      <c r="K50" s="10" t="s">
        <v>345</v>
      </c>
      <c r="L50" s="14"/>
      <c r="M50" s="9" t="s">
        <v>202</v>
      </c>
      <c r="N50" s="10">
        <v>0.0</v>
      </c>
      <c r="O50" s="14" t="s">
        <v>9</v>
      </c>
      <c r="P50" s="1" t="s">
        <v>203</v>
      </c>
      <c r="Q50" s="10">
        <v>0.0</v>
      </c>
      <c r="R50" s="14" t="s">
        <v>9</v>
      </c>
      <c r="S50" s="1" t="s">
        <v>204</v>
      </c>
      <c r="T50" s="9"/>
      <c r="U50" s="9"/>
      <c r="V50" s="100" t="s">
        <v>11</v>
      </c>
      <c r="W50" s="101">
        <v>24.0</v>
      </c>
      <c r="X50" s="100"/>
      <c r="Y50" s="100" t="s">
        <v>164</v>
      </c>
      <c r="Z50" s="101">
        <v>8.0</v>
      </c>
    </row>
    <row r="51" ht="12.75" customHeight="1">
      <c r="A51" s="9"/>
      <c r="B51" s="10">
        <v>8.0</v>
      </c>
      <c r="C51" s="14" t="s">
        <v>9</v>
      </c>
      <c r="D51" s="1" t="s">
        <v>205</v>
      </c>
      <c r="E51" s="10" t="s">
        <v>345</v>
      </c>
      <c r="F51" s="14"/>
      <c r="G51" s="9" t="s">
        <v>206</v>
      </c>
      <c r="H51" s="10" t="s">
        <v>345</v>
      </c>
      <c r="I51" s="14"/>
      <c r="J51" s="18" t="s">
        <v>207</v>
      </c>
      <c r="K51" s="10">
        <v>2.0</v>
      </c>
      <c r="L51" s="14" t="s">
        <v>9</v>
      </c>
      <c r="M51" s="1" t="s">
        <v>208</v>
      </c>
      <c r="N51" s="10">
        <v>3.0</v>
      </c>
      <c r="O51" s="14" t="s">
        <v>9</v>
      </c>
      <c r="P51" s="1" t="s">
        <v>209</v>
      </c>
      <c r="Q51" s="10">
        <v>0.0</v>
      </c>
      <c r="R51" s="14" t="s">
        <v>9</v>
      </c>
      <c r="S51" s="1" t="s">
        <v>210</v>
      </c>
      <c r="T51" s="9"/>
      <c r="U51" s="9"/>
      <c r="V51" s="100" t="s">
        <v>30</v>
      </c>
      <c r="W51" s="101">
        <v>6.0</v>
      </c>
      <c r="X51" s="100"/>
      <c r="Y51" s="100" t="s">
        <v>170</v>
      </c>
      <c r="Z51" s="101">
        <v>0.0</v>
      </c>
    </row>
    <row r="52" ht="12.75" customHeight="1">
      <c r="A52" s="9"/>
      <c r="B52" s="10" t="s">
        <v>345</v>
      </c>
      <c r="C52" s="14"/>
      <c r="D52" s="12" t="s">
        <v>368</v>
      </c>
      <c r="E52" s="10" t="s">
        <v>345</v>
      </c>
      <c r="F52" s="14"/>
      <c r="G52" s="17" t="s">
        <v>212</v>
      </c>
      <c r="H52" s="10">
        <v>0.0</v>
      </c>
      <c r="I52" s="14" t="s">
        <v>9</v>
      </c>
      <c r="J52" s="5" t="s">
        <v>213</v>
      </c>
      <c r="K52" s="10" t="s">
        <v>345</v>
      </c>
      <c r="L52" s="14"/>
      <c r="M52" s="12" t="s">
        <v>349</v>
      </c>
      <c r="N52" s="10" t="s">
        <v>345</v>
      </c>
      <c r="O52" s="14"/>
      <c r="P52" s="12" t="s">
        <v>215</v>
      </c>
      <c r="Q52" s="10" t="s">
        <v>345</v>
      </c>
      <c r="R52" s="14"/>
      <c r="S52" s="12" t="s">
        <v>216</v>
      </c>
      <c r="T52" s="9"/>
      <c r="U52" s="9"/>
      <c r="V52" s="100" t="s">
        <v>42</v>
      </c>
      <c r="W52" s="101">
        <v>0.0</v>
      </c>
      <c r="X52" s="100"/>
      <c r="Y52" s="100" t="s">
        <v>176</v>
      </c>
      <c r="Z52" s="101">
        <v>0.0</v>
      </c>
    </row>
    <row r="53" ht="12.75" customHeight="1">
      <c r="A53" s="9"/>
      <c r="B53" s="10"/>
      <c r="C53" s="3"/>
      <c r="D53" s="9"/>
      <c r="E53" s="10"/>
      <c r="F53" s="3"/>
      <c r="G53" s="9"/>
      <c r="H53" s="10"/>
      <c r="I53" s="3"/>
      <c r="J53" s="9"/>
      <c r="K53" s="10"/>
      <c r="L53" s="3"/>
      <c r="M53" s="9"/>
      <c r="N53" s="10"/>
      <c r="O53" s="3"/>
      <c r="P53" s="9"/>
      <c r="Q53" s="10"/>
      <c r="R53" s="3"/>
      <c r="S53" s="9"/>
      <c r="T53" s="9"/>
      <c r="U53" s="9"/>
      <c r="V53" s="100" t="s">
        <v>55</v>
      </c>
      <c r="W53" s="101">
        <v>0.0</v>
      </c>
      <c r="X53" s="100"/>
      <c r="Y53" s="100" t="s">
        <v>194</v>
      </c>
      <c r="Z53" s="101">
        <v>8.0</v>
      </c>
    </row>
    <row r="54" ht="12.75" customHeight="1">
      <c r="A54" s="9" t="s">
        <v>76</v>
      </c>
      <c r="B54" s="10">
        <v>6.0</v>
      </c>
      <c r="C54" s="14" t="s">
        <v>9</v>
      </c>
      <c r="D54" s="1" t="s">
        <v>217</v>
      </c>
      <c r="E54" s="10" t="s">
        <v>345</v>
      </c>
      <c r="F54" s="14"/>
      <c r="G54" s="9" t="s">
        <v>218</v>
      </c>
      <c r="H54" s="10" t="s">
        <v>345</v>
      </c>
      <c r="I54" s="14"/>
      <c r="J54" s="9" t="s">
        <v>219</v>
      </c>
      <c r="K54" s="10">
        <v>6.0</v>
      </c>
      <c r="L54" s="14" t="s">
        <v>9</v>
      </c>
      <c r="M54" s="5" t="s">
        <v>220</v>
      </c>
      <c r="N54" s="10">
        <v>0.0</v>
      </c>
      <c r="O54" s="14" t="s">
        <v>9</v>
      </c>
      <c r="P54" s="1" t="s">
        <v>221</v>
      </c>
      <c r="Q54" s="10">
        <v>2.0</v>
      </c>
      <c r="R54" s="14" t="s">
        <v>9</v>
      </c>
      <c r="S54" s="1" t="s">
        <v>222</v>
      </c>
      <c r="T54" s="9"/>
      <c r="U54" s="9"/>
      <c r="V54" s="100" t="s">
        <v>73</v>
      </c>
      <c r="W54" s="101">
        <v>0.0</v>
      </c>
      <c r="X54" s="100"/>
      <c r="Y54" s="100" t="s">
        <v>200</v>
      </c>
      <c r="Z54" s="101">
        <v>8.0</v>
      </c>
    </row>
    <row r="55" ht="12.75" customHeight="1">
      <c r="A55" s="9"/>
      <c r="B55" s="10" t="s">
        <v>345</v>
      </c>
      <c r="C55" s="14"/>
      <c r="D55" s="12" t="s">
        <v>223</v>
      </c>
      <c r="E55" s="10">
        <v>0.0</v>
      </c>
      <c r="F55" s="14" t="s">
        <v>9</v>
      </c>
      <c r="G55" s="1" t="s">
        <v>224</v>
      </c>
      <c r="H55" s="10">
        <v>0.0</v>
      </c>
      <c r="I55" s="14" t="s">
        <v>9</v>
      </c>
      <c r="J55" s="1" t="s">
        <v>225</v>
      </c>
      <c r="K55" s="10" t="s">
        <v>345</v>
      </c>
      <c r="L55" s="14"/>
      <c r="M55" s="12" t="s">
        <v>226</v>
      </c>
      <c r="N55" s="10" t="s">
        <v>345</v>
      </c>
      <c r="O55" s="14"/>
      <c r="P55" s="9" t="s">
        <v>227</v>
      </c>
      <c r="Q55" s="10" t="s">
        <v>345</v>
      </c>
      <c r="R55" s="14"/>
      <c r="S55" s="12" t="s">
        <v>228</v>
      </c>
      <c r="T55" s="9"/>
      <c r="U55" s="9"/>
      <c r="V55" s="100" t="s">
        <v>92</v>
      </c>
      <c r="W55" s="101">
        <v>0.0</v>
      </c>
      <c r="X55" s="100"/>
      <c r="Y55" s="100" t="s">
        <v>224</v>
      </c>
      <c r="Z55" s="101">
        <v>0.0</v>
      </c>
    </row>
    <row r="56" ht="12.75" customHeight="1">
      <c r="A56" s="9"/>
      <c r="B56" s="10" t="s">
        <v>345</v>
      </c>
      <c r="C56" s="14"/>
      <c r="D56" s="12" t="s">
        <v>229</v>
      </c>
      <c r="E56" s="10" t="s">
        <v>345</v>
      </c>
      <c r="F56" s="14"/>
      <c r="G56" s="9" t="s">
        <v>230</v>
      </c>
      <c r="H56" s="10" t="s">
        <v>345</v>
      </c>
      <c r="I56" s="14"/>
      <c r="J56" s="12" t="s">
        <v>231</v>
      </c>
      <c r="K56" s="10" t="s">
        <v>345</v>
      </c>
      <c r="L56" s="14"/>
      <c r="M56" s="12" t="s">
        <v>369</v>
      </c>
      <c r="N56" s="10" t="s">
        <v>345</v>
      </c>
      <c r="O56" s="14"/>
      <c r="P56" s="9" t="s">
        <v>233</v>
      </c>
      <c r="Q56" s="10" t="s">
        <v>345</v>
      </c>
      <c r="R56" s="14"/>
      <c r="S56" s="12" t="s">
        <v>234</v>
      </c>
      <c r="T56" s="9"/>
      <c r="U56" s="9"/>
      <c r="V56" s="100" t="s">
        <v>100</v>
      </c>
      <c r="W56" s="101">
        <v>16.0</v>
      </c>
      <c r="X56" s="100"/>
      <c r="Y56" s="100" t="s">
        <v>345</v>
      </c>
      <c r="Z56" s="101">
        <v>0.0</v>
      </c>
    </row>
    <row r="57" ht="12.75" customHeight="1">
      <c r="A57" s="9"/>
      <c r="B57" s="10"/>
      <c r="C57" s="3"/>
      <c r="D57" s="9"/>
      <c r="E57" s="10"/>
      <c r="F57" s="3"/>
      <c r="G57" s="9"/>
      <c r="H57" s="10"/>
      <c r="I57" s="3"/>
      <c r="J57" s="9"/>
      <c r="K57" s="10"/>
      <c r="L57" s="3"/>
      <c r="M57" s="9"/>
      <c r="N57" s="10"/>
      <c r="O57" s="3"/>
      <c r="P57" s="9"/>
      <c r="Q57" s="10"/>
      <c r="R57" s="3"/>
      <c r="S57" s="9"/>
      <c r="T57" s="9"/>
      <c r="U57" s="9"/>
      <c r="V57" s="100" t="s">
        <v>345</v>
      </c>
      <c r="W57" s="101">
        <v>0.0</v>
      </c>
      <c r="X57" s="100"/>
      <c r="Y57" s="100" t="s">
        <v>248</v>
      </c>
      <c r="Z57" s="101">
        <v>5.0</v>
      </c>
    </row>
    <row r="58" ht="12.75" customHeight="1">
      <c r="A58" s="9" t="s">
        <v>96</v>
      </c>
      <c r="B58" s="10">
        <v>6.0</v>
      </c>
      <c r="C58" s="14" t="s">
        <v>9</v>
      </c>
      <c r="D58" s="1" t="s">
        <v>235</v>
      </c>
      <c r="E58" s="10" t="s">
        <v>345</v>
      </c>
      <c r="F58" s="14"/>
      <c r="G58" s="9" t="s">
        <v>236</v>
      </c>
      <c r="H58" s="10">
        <v>0.0</v>
      </c>
      <c r="I58" s="14" t="s">
        <v>9</v>
      </c>
      <c r="J58" s="1" t="s">
        <v>370</v>
      </c>
      <c r="K58" s="10" t="s">
        <v>345</v>
      </c>
      <c r="L58" s="14"/>
      <c r="M58" s="12" t="s">
        <v>238</v>
      </c>
      <c r="N58" s="10">
        <v>10.0</v>
      </c>
      <c r="O58" s="14" t="s">
        <v>9</v>
      </c>
      <c r="P58" s="5" t="s">
        <v>239</v>
      </c>
      <c r="Q58" s="10">
        <v>4.0</v>
      </c>
      <c r="R58" s="14" t="s">
        <v>9</v>
      </c>
      <c r="S58" s="1" t="s">
        <v>240</v>
      </c>
      <c r="T58" s="9"/>
      <c r="U58" s="9"/>
      <c r="V58" s="100" t="s">
        <v>126</v>
      </c>
      <c r="W58" s="101">
        <v>0.0</v>
      </c>
      <c r="X58" s="100"/>
      <c r="Y58" s="100" t="s">
        <v>260</v>
      </c>
      <c r="Z58" s="101">
        <v>4.0</v>
      </c>
    </row>
    <row r="59" ht="12.75" customHeight="1">
      <c r="A59" s="9"/>
      <c r="B59" s="10" t="s">
        <v>345</v>
      </c>
      <c r="C59" s="14"/>
      <c r="D59" s="12" t="s">
        <v>371</v>
      </c>
      <c r="E59" s="10" t="s">
        <v>345</v>
      </c>
      <c r="F59" s="14"/>
      <c r="G59" s="9" t="s">
        <v>242</v>
      </c>
      <c r="H59" s="10" t="s">
        <v>345</v>
      </c>
      <c r="I59" s="14"/>
      <c r="J59" s="9" t="s">
        <v>237</v>
      </c>
      <c r="K59" s="10" t="s">
        <v>345</v>
      </c>
      <c r="L59" s="14"/>
      <c r="M59" s="12" t="s">
        <v>244</v>
      </c>
      <c r="N59" s="10" t="s">
        <v>345</v>
      </c>
      <c r="O59" s="14"/>
      <c r="P59" s="12" t="s">
        <v>245</v>
      </c>
      <c r="Q59" s="10" t="s">
        <v>345</v>
      </c>
      <c r="R59" s="14"/>
      <c r="S59" s="12" t="s">
        <v>246</v>
      </c>
      <c r="T59" s="9"/>
      <c r="U59" s="9"/>
      <c r="V59" s="100"/>
      <c r="W59" s="101">
        <v>46.0</v>
      </c>
      <c r="X59" s="100"/>
      <c r="Y59" s="100"/>
      <c r="Z59" s="101">
        <v>33.0</v>
      </c>
    </row>
    <row r="60" ht="12.75" customHeight="1">
      <c r="A60" s="9"/>
      <c r="B60" s="10"/>
      <c r="C60" s="3"/>
      <c r="D60" s="9"/>
      <c r="E60" s="10"/>
      <c r="F60" s="3"/>
      <c r="G60" s="9"/>
      <c r="H60" s="10"/>
      <c r="I60" s="3"/>
      <c r="J60" s="9"/>
      <c r="K60" s="10"/>
      <c r="L60" s="3"/>
      <c r="M60" s="9"/>
      <c r="N60" s="10"/>
      <c r="O60" s="3"/>
      <c r="P60" s="9"/>
      <c r="Q60" s="10"/>
      <c r="R60" s="3"/>
      <c r="S60" s="9"/>
      <c r="T60" s="9"/>
      <c r="U60" s="9"/>
      <c r="V60" s="100"/>
      <c r="W60" s="101"/>
      <c r="X60" s="100"/>
      <c r="Y60" s="100"/>
      <c r="Z60" s="101"/>
    </row>
    <row r="61" ht="12.75" customHeight="1">
      <c r="A61" s="9" t="s">
        <v>109</v>
      </c>
      <c r="B61" s="10" t="s">
        <v>345</v>
      </c>
      <c r="C61" s="14"/>
      <c r="D61" s="9" t="s">
        <v>247</v>
      </c>
      <c r="E61" s="10">
        <v>5.0</v>
      </c>
      <c r="F61" s="14" t="s">
        <v>9</v>
      </c>
      <c r="G61" s="5" t="s">
        <v>248</v>
      </c>
      <c r="H61" s="10" t="s">
        <v>345</v>
      </c>
      <c r="I61" s="14"/>
      <c r="J61" s="12" t="s">
        <v>249</v>
      </c>
      <c r="K61" s="10" t="s">
        <v>345</v>
      </c>
      <c r="L61" s="14"/>
      <c r="M61" s="12" t="s">
        <v>250</v>
      </c>
      <c r="N61" s="10">
        <v>19.0</v>
      </c>
      <c r="O61" s="14" t="s">
        <v>9</v>
      </c>
      <c r="P61" s="1" t="s">
        <v>251</v>
      </c>
      <c r="Q61" s="10" t="s">
        <v>345</v>
      </c>
      <c r="R61" s="14"/>
      <c r="S61" s="12" t="s">
        <v>252</v>
      </c>
      <c r="T61" s="9"/>
      <c r="U61" s="9"/>
      <c r="V61" s="98" t="s">
        <v>326</v>
      </c>
      <c r="W61" s="99"/>
      <c r="X61" s="98"/>
      <c r="Y61" s="98" t="s">
        <v>323</v>
      </c>
      <c r="Z61" s="99"/>
    </row>
    <row r="62" ht="12.75" customHeight="1">
      <c r="A62" s="9"/>
      <c r="B62" s="10">
        <v>0.0</v>
      </c>
      <c r="C62" s="14" t="s">
        <v>9</v>
      </c>
      <c r="D62" s="1" t="s">
        <v>253</v>
      </c>
      <c r="E62" s="10" t="s">
        <v>345</v>
      </c>
      <c r="F62" s="14"/>
      <c r="G62" s="12" t="s">
        <v>254</v>
      </c>
      <c r="H62" s="10">
        <v>8.0</v>
      </c>
      <c r="I62" s="14" t="s">
        <v>9</v>
      </c>
      <c r="J62" s="5" t="s">
        <v>255</v>
      </c>
      <c r="K62" s="10">
        <v>11.0</v>
      </c>
      <c r="L62" s="14" t="s">
        <v>9</v>
      </c>
      <c r="M62" s="1" t="s">
        <v>256</v>
      </c>
      <c r="N62" s="10" t="s">
        <v>345</v>
      </c>
      <c r="O62" s="14"/>
      <c r="P62" s="12" t="s">
        <v>257</v>
      </c>
      <c r="Q62" s="10">
        <v>5.0</v>
      </c>
      <c r="R62" s="14" t="s">
        <v>9</v>
      </c>
      <c r="S62" s="5" t="s">
        <v>258</v>
      </c>
      <c r="T62" s="9"/>
      <c r="U62" s="9"/>
      <c r="V62" s="100" t="s">
        <v>153</v>
      </c>
      <c r="W62" s="101">
        <v>0.0</v>
      </c>
      <c r="X62" s="100"/>
      <c r="Y62" s="100" t="s">
        <v>13</v>
      </c>
      <c r="Z62" s="101">
        <v>0.0</v>
      </c>
    </row>
    <row r="63" ht="12.75" customHeight="1">
      <c r="A63" s="9"/>
      <c r="B63" s="10"/>
      <c r="C63" s="3"/>
      <c r="D63" s="9"/>
      <c r="E63" s="10"/>
      <c r="F63" s="3"/>
      <c r="G63" s="9"/>
      <c r="H63" s="10"/>
      <c r="I63" s="3"/>
      <c r="J63" s="9"/>
      <c r="K63" s="10"/>
      <c r="L63" s="3"/>
      <c r="M63" s="9"/>
      <c r="N63" s="10"/>
      <c r="O63" s="3"/>
      <c r="P63" s="9"/>
      <c r="Q63" s="10"/>
      <c r="R63" s="3"/>
      <c r="S63" s="9"/>
      <c r="T63" s="9"/>
      <c r="U63" s="9"/>
      <c r="V63" s="100" t="s">
        <v>171</v>
      </c>
      <c r="W63" s="101">
        <v>0.0</v>
      </c>
      <c r="X63" s="100"/>
      <c r="Y63" s="100" t="s">
        <v>372</v>
      </c>
      <c r="Z63" s="101">
        <v>0.0</v>
      </c>
    </row>
    <row r="64" ht="12.75" customHeight="1">
      <c r="A64" s="9" t="s">
        <v>122</v>
      </c>
      <c r="B64" s="10">
        <v>5.0</v>
      </c>
      <c r="C64" s="14" t="s">
        <v>9</v>
      </c>
      <c r="D64" s="5" t="s">
        <v>259</v>
      </c>
      <c r="E64" s="10">
        <v>4.0</v>
      </c>
      <c r="F64" s="14" t="s">
        <v>9</v>
      </c>
      <c r="G64" s="1" t="s">
        <v>260</v>
      </c>
      <c r="H64" s="10">
        <v>4.0</v>
      </c>
      <c r="I64" s="14" t="s">
        <v>9</v>
      </c>
      <c r="J64" s="1" t="s">
        <v>261</v>
      </c>
      <c r="K64" s="10">
        <v>5.0</v>
      </c>
      <c r="L64" s="14" t="s">
        <v>9</v>
      </c>
      <c r="M64" s="5" t="s">
        <v>262</v>
      </c>
      <c r="N64" s="10">
        <v>0.0</v>
      </c>
      <c r="O64" s="14" t="s">
        <v>9</v>
      </c>
      <c r="P64" s="5" t="s">
        <v>263</v>
      </c>
      <c r="Q64" s="10" t="s">
        <v>345</v>
      </c>
      <c r="R64" s="14"/>
      <c r="S64" s="9" t="s">
        <v>264</v>
      </c>
      <c r="T64" s="9"/>
      <c r="U64" s="9"/>
      <c r="V64" s="100" t="s">
        <v>183</v>
      </c>
      <c r="W64" s="101">
        <v>19.0</v>
      </c>
      <c r="X64" s="100"/>
      <c r="Y64" s="100" t="s">
        <v>50</v>
      </c>
      <c r="Z64" s="101">
        <v>0.0</v>
      </c>
    </row>
    <row r="65" ht="12.75" customHeight="1">
      <c r="A65" s="9"/>
      <c r="B65" s="10" t="s">
        <v>345</v>
      </c>
      <c r="C65" s="14"/>
      <c r="D65" s="9" t="s">
        <v>265</v>
      </c>
      <c r="E65" s="10" t="s">
        <v>345</v>
      </c>
      <c r="F65" s="14"/>
      <c r="G65" s="12" t="s">
        <v>266</v>
      </c>
      <c r="H65" s="10" t="s">
        <v>345</v>
      </c>
      <c r="I65" s="14"/>
      <c r="J65" s="9" t="s">
        <v>267</v>
      </c>
      <c r="K65" s="10" t="s">
        <v>345</v>
      </c>
      <c r="L65" s="14"/>
      <c r="M65" s="9" t="s">
        <v>268</v>
      </c>
      <c r="N65" s="10" t="s">
        <v>345</v>
      </c>
      <c r="O65" s="14"/>
      <c r="P65" s="9" t="s">
        <v>269</v>
      </c>
      <c r="Q65" s="10">
        <v>0.0</v>
      </c>
      <c r="R65" s="14" t="s">
        <v>9</v>
      </c>
      <c r="S65" s="5" t="s">
        <v>270</v>
      </c>
      <c r="T65" s="9"/>
      <c r="U65" s="9"/>
      <c r="V65" s="100" t="s">
        <v>201</v>
      </c>
      <c r="W65" s="101">
        <v>0.0</v>
      </c>
      <c r="X65" s="100"/>
      <c r="Y65" s="100" t="s">
        <v>63</v>
      </c>
      <c r="Z65" s="101">
        <v>8.0</v>
      </c>
    </row>
    <row r="66" ht="12.75" customHeight="1">
      <c r="A66" s="9"/>
      <c r="B66" s="2"/>
      <c r="C66" s="3"/>
      <c r="D66" s="9"/>
      <c r="E66" s="10"/>
      <c r="F66" s="3"/>
      <c r="G66" s="9"/>
      <c r="H66" s="10"/>
      <c r="I66" s="3"/>
      <c r="J66" s="9"/>
      <c r="K66" s="10"/>
      <c r="L66" s="3"/>
      <c r="M66" s="9"/>
      <c r="N66" s="10"/>
      <c r="O66" s="3"/>
      <c r="P66" s="9"/>
      <c r="Q66" s="10"/>
      <c r="R66" s="3"/>
      <c r="S66" s="9"/>
      <c r="T66" s="9"/>
      <c r="U66" s="9"/>
      <c r="V66" s="100" t="s">
        <v>213</v>
      </c>
      <c r="W66" s="101">
        <v>0.0</v>
      </c>
      <c r="X66" s="100"/>
      <c r="Y66" s="100" t="s">
        <v>75</v>
      </c>
      <c r="Z66" s="101">
        <v>0.0</v>
      </c>
    </row>
    <row r="67" ht="12.75" customHeight="1">
      <c r="A67" s="19"/>
      <c r="B67" s="20"/>
      <c r="C67" s="21"/>
      <c r="D67" s="22">
        <v>45.0</v>
      </c>
      <c r="E67" s="20"/>
      <c r="F67" s="21"/>
      <c r="G67" s="22">
        <v>33.0</v>
      </c>
      <c r="H67" s="20"/>
      <c r="I67" s="21"/>
      <c r="J67" s="22">
        <v>31.0</v>
      </c>
      <c r="K67" s="20"/>
      <c r="L67" s="21"/>
      <c r="M67" s="22">
        <v>81.0</v>
      </c>
      <c r="N67" s="20"/>
      <c r="O67" s="21"/>
      <c r="P67" s="22">
        <v>71.0</v>
      </c>
      <c r="Q67" s="20"/>
      <c r="R67" s="21"/>
      <c r="S67" s="22">
        <v>71.0</v>
      </c>
      <c r="T67" s="19"/>
      <c r="U67" s="19"/>
      <c r="V67" s="100" t="s">
        <v>225</v>
      </c>
      <c r="W67" s="101">
        <v>0.0</v>
      </c>
      <c r="X67" s="100"/>
      <c r="Y67" s="100" t="s">
        <v>82</v>
      </c>
      <c r="Z67" s="101">
        <v>0.0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6"/>
      <c r="S68" s="9"/>
      <c r="T68" s="9"/>
      <c r="U68" s="9"/>
      <c r="V68" s="100" t="s">
        <v>370</v>
      </c>
      <c r="W68" s="101">
        <v>0.0</v>
      </c>
      <c r="X68" s="100"/>
      <c r="Y68" s="100" t="s">
        <v>102</v>
      </c>
      <c r="Z68" s="101">
        <v>1.0</v>
      </c>
    </row>
    <row r="69" ht="12.75" customHeight="1">
      <c r="A69" s="9" t="s">
        <v>135</v>
      </c>
      <c r="B69" s="2"/>
      <c r="C69" s="3"/>
      <c r="D69" s="9" t="s">
        <v>271</v>
      </c>
      <c r="E69" s="2"/>
      <c r="F69" s="6"/>
      <c r="G69" s="9" t="s">
        <v>272</v>
      </c>
      <c r="H69" s="2"/>
      <c r="I69" s="6"/>
      <c r="J69" s="9" t="s">
        <v>273</v>
      </c>
      <c r="K69" s="2"/>
      <c r="L69" s="6"/>
      <c r="M69" s="9" t="s">
        <v>274</v>
      </c>
      <c r="N69" s="2"/>
      <c r="O69" s="6"/>
      <c r="P69" s="9" t="s">
        <v>275</v>
      </c>
      <c r="Q69" s="2"/>
      <c r="R69" s="6"/>
      <c r="S69" s="9" t="s">
        <v>276</v>
      </c>
      <c r="T69" s="9"/>
      <c r="U69" s="9"/>
      <c r="V69" s="100" t="s">
        <v>255</v>
      </c>
      <c r="W69" s="101">
        <v>8.0</v>
      </c>
      <c r="X69" s="100"/>
      <c r="Y69" s="100" t="s">
        <v>115</v>
      </c>
      <c r="Z69" s="101">
        <v>23.0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277</v>
      </c>
      <c r="K70" s="2"/>
      <c r="L70" s="6"/>
      <c r="M70" s="9" t="s">
        <v>95</v>
      </c>
      <c r="N70" s="2"/>
      <c r="O70" s="6"/>
      <c r="P70" s="9"/>
      <c r="Q70" s="2"/>
      <c r="R70" s="6"/>
      <c r="S70" s="9"/>
      <c r="T70" s="9"/>
      <c r="U70" s="9"/>
      <c r="V70" s="100" t="s">
        <v>261</v>
      </c>
      <c r="W70" s="101">
        <v>4.0</v>
      </c>
      <c r="X70" s="100"/>
      <c r="Y70" s="100" t="s">
        <v>134</v>
      </c>
      <c r="Z70" s="101">
        <v>5.0</v>
      </c>
    </row>
    <row r="71" ht="12.75" customHeight="1">
      <c r="A71" s="9"/>
      <c r="B71" s="2"/>
      <c r="C71" s="3"/>
      <c r="D71" s="9"/>
      <c r="E71" s="2"/>
      <c r="F71" s="6"/>
      <c r="G71" s="28"/>
      <c r="H71" s="2"/>
      <c r="I71" s="6"/>
      <c r="J71" s="28"/>
      <c r="K71" s="2"/>
      <c r="L71" s="6"/>
      <c r="M71" s="28"/>
      <c r="N71" s="2"/>
      <c r="O71" s="6"/>
      <c r="P71" s="28"/>
      <c r="Q71" s="2"/>
      <c r="R71" s="6"/>
      <c r="S71" s="28"/>
      <c r="T71" s="9"/>
      <c r="U71" s="9"/>
      <c r="V71" s="100"/>
      <c r="W71" s="101">
        <v>31.0</v>
      </c>
      <c r="X71" s="100"/>
      <c r="Y71" s="100"/>
      <c r="Z71" s="101">
        <v>37.0</v>
      </c>
    </row>
    <row r="72" ht="12.75" customHeight="1">
      <c r="A72" s="9" t="s">
        <v>143</v>
      </c>
      <c r="B72" s="2"/>
      <c r="C72" s="3"/>
      <c r="D72" s="12"/>
      <c r="F72" s="29"/>
      <c r="G72" s="25"/>
      <c r="H72" s="25"/>
      <c r="J72" s="25"/>
      <c r="K72" s="26"/>
      <c r="M72" s="25"/>
      <c r="N72" s="26"/>
      <c r="P72" s="25"/>
      <c r="Q72" s="25"/>
      <c r="R72" s="30"/>
      <c r="S72" s="25"/>
      <c r="T72" s="9"/>
      <c r="U72" s="2"/>
      <c r="V72" s="119"/>
      <c r="W72" s="100"/>
      <c r="X72" s="100"/>
      <c r="Y72" s="100"/>
      <c r="Z72" s="100"/>
    </row>
    <row r="73" ht="12.75" customHeight="1">
      <c r="A73" s="9"/>
      <c r="B73" s="2"/>
      <c r="C73" s="3"/>
      <c r="D73" s="9"/>
      <c r="F73" s="29"/>
      <c r="G73" s="25"/>
      <c r="H73" s="25"/>
      <c r="J73" s="25"/>
      <c r="K73" s="26"/>
      <c r="M73" s="25"/>
      <c r="N73" s="28"/>
      <c r="P73" s="25"/>
      <c r="Q73" s="25"/>
      <c r="R73" s="30"/>
      <c r="S73" s="25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29"/>
      <c r="G74" s="25"/>
      <c r="H74" s="25"/>
      <c r="J74" s="27"/>
      <c r="K74" s="26"/>
      <c r="M74" s="27"/>
      <c r="N74" s="26"/>
      <c r="P74" s="27"/>
      <c r="Q74" s="25"/>
      <c r="R74" s="30"/>
      <c r="S74" s="25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1.57"/>
    <col customWidth="1" min="23" max="23" width="4.0"/>
    <col customWidth="1" min="24" max="24" width="3.0"/>
    <col customWidth="1" min="25" max="25" width="22.29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8" t="s">
        <v>327</v>
      </c>
      <c r="W1" s="99"/>
      <c r="X1" s="98"/>
      <c r="Y1" s="98" t="s">
        <v>329</v>
      </c>
      <c r="Z1" s="99"/>
    </row>
    <row r="2" ht="12.75" customHeight="1">
      <c r="A2" s="9" t="s">
        <v>6</v>
      </c>
      <c r="B2" s="10" t="s">
        <v>345</v>
      </c>
      <c r="C2" s="14"/>
      <c r="D2" s="9" t="s">
        <v>7</v>
      </c>
      <c r="E2" s="10">
        <v>5.0</v>
      </c>
      <c r="F2" s="14" t="s">
        <v>9</v>
      </c>
      <c r="G2" s="5" t="s">
        <v>8</v>
      </c>
      <c r="H2" s="10" t="s">
        <v>345</v>
      </c>
      <c r="I2" s="14"/>
      <c r="J2" s="9" t="s">
        <v>10</v>
      </c>
      <c r="K2" s="10" t="s">
        <v>345</v>
      </c>
      <c r="L2" s="14"/>
      <c r="M2" s="12" t="s">
        <v>11</v>
      </c>
      <c r="N2" s="10">
        <v>21.0</v>
      </c>
      <c r="O2" s="14" t="s">
        <v>9</v>
      </c>
      <c r="P2" s="1" t="s">
        <v>12</v>
      </c>
      <c r="Q2" s="10" t="s">
        <v>345</v>
      </c>
      <c r="R2" s="14"/>
      <c r="S2" s="12" t="s">
        <v>13</v>
      </c>
      <c r="T2" s="9"/>
      <c r="U2" s="9"/>
      <c r="V2" s="100" t="s">
        <v>154</v>
      </c>
      <c r="W2" s="101">
        <v>26.0</v>
      </c>
      <c r="X2" s="100"/>
      <c r="Y2" s="100" t="s">
        <v>162</v>
      </c>
      <c r="Z2" s="101">
        <v>15.0</v>
      </c>
    </row>
    <row r="3" ht="12.75" customHeight="1">
      <c r="A3" s="9"/>
      <c r="B3" s="10">
        <v>2.0</v>
      </c>
      <c r="C3" s="14" t="s">
        <v>9</v>
      </c>
      <c r="D3" s="1" t="s">
        <v>14</v>
      </c>
      <c r="E3" s="10" t="s">
        <v>345</v>
      </c>
      <c r="F3" s="14"/>
      <c r="G3" s="12" t="s">
        <v>15</v>
      </c>
      <c r="H3" s="10" t="s">
        <v>345</v>
      </c>
      <c r="I3" s="14"/>
      <c r="J3" s="9" t="s">
        <v>16</v>
      </c>
      <c r="K3" s="10">
        <v>27.0</v>
      </c>
      <c r="L3" s="14" t="s">
        <v>9</v>
      </c>
      <c r="M3" s="1" t="s">
        <v>17</v>
      </c>
      <c r="N3" s="10" t="s">
        <v>345</v>
      </c>
      <c r="O3" s="14"/>
      <c r="P3" s="9" t="s">
        <v>18</v>
      </c>
      <c r="Q3" s="10">
        <v>5.0</v>
      </c>
      <c r="R3" s="14" t="s">
        <v>9</v>
      </c>
      <c r="S3" s="1" t="s">
        <v>19</v>
      </c>
      <c r="T3" s="9"/>
      <c r="U3" s="9"/>
      <c r="V3" s="100" t="s">
        <v>172</v>
      </c>
      <c r="W3" s="101">
        <v>0.0</v>
      </c>
      <c r="X3" s="100"/>
      <c r="Y3" s="100" t="s">
        <v>180</v>
      </c>
      <c r="Z3" s="101">
        <v>6.0</v>
      </c>
    </row>
    <row r="4" ht="12.75" customHeight="1">
      <c r="A4" s="9"/>
      <c r="B4" s="10" t="s">
        <v>345</v>
      </c>
      <c r="C4" s="14"/>
      <c r="D4" s="12" t="s">
        <v>20</v>
      </c>
      <c r="E4" s="10" t="s">
        <v>345</v>
      </c>
      <c r="F4" s="14"/>
      <c r="G4" s="12" t="s">
        <v>21</v>
      </c>
      <c r="H4" s="10">
        <v>8.0</v>
      </c>
      <c r="I4" s="14" t="s">
        <v>9</v>
      </c>
      <c r="J4" s="5" t="s">
        <v>22</v>
      </c>
      <c r="K4" s="10" t="s">
        <v>345</v>
      </c>
      <c r="L4" s="14"/>
      <c r="M4" s="12" t="s">
        <v>23</v>
      </c>
      <c r="N4" s="10" t="s">
        <v>345</v>
      </c>
      <c r="O4" s="14"/>
      <c r="P4" s="12" t="s">
        <v>24</v>
      </c>
      <c r="Q4" s="10" t="s">
        <v>345</v>
      </c>
      <c r="R4" s="14"/>
      <c r="S4" s="12" t="s">
        <v>25</v>
      </c>
      <c r="T4" s="9"/>
      <c r="U4" s="9"/>
      <c r="V4" s="100" t="s">
        <v>178</v>
      </c>
      <c r="W4" s="101">
        <v>3.0</v>
      </c>
      <c r="X4" s="100"/>
      <c r="Y4" s="100" t="s">
        <v>192</v>
      </c>
      <c r="Z4" s="101">
        <v>0.0</v>
      </c>
    </row>
    <row r="5" ht="12.75" customHeight="1">
      <c r="A5" s="9"/>
      <c r="B5" s="10"/>
      <c r="C5" s="3"/>
      <c r="D5" s="9"/>
      <c r="E5" s="10"/>
      <c r="F5" s="3"/>
      <c r="G5" s="9"/>
      <c r="H5" s="10" t="s">
        <v>345</v>
      </c>
      <c r="I5" s="3"/>
      <c r="J5" s="9"/>
      <c r="K5" s="10"/>
      <c r="L5" s="3"/>
      <c r="M5" s="9"/>
      <c r="N5" s="10"/>
      <c r="O5" s="3"/>
      <c r="P5" s="9"/>
      <c r="Q5" s="10"/>
      <c r="R5" s="3"/>
      <c r="S5" s="9"/>
      <c r="T5" s="9"/>
      <c r="U5" s="9"/>
      <c r="V5" s="100" t="s">
        <v>208</v>
      </c>
      <c r="W5" s="101">
        <v>2.0</v>
      </c>
      <c r="X5" s="100"/>
      <c r="Y5" s="100" t="s">
        <v>204</v>
      </c>
      <c r="Z5" s="101">
        <v>0.0</v>
      </c>
    </row>
    <row r="6" ht="12.75" customHeight="1">
      <c r="A6" s="9" t="s">
        <v>26</v>
      </c>
      <c r="B6" s="10">
        <v>8.0</v>
      </c>
      <c r="C6" s="14" t="s">
        <v>9</v>
      </c>
      <c r="D6" s="1" t="s">
        <v>27</v>
      </c>
      <c r="E6" s="10">
        <v>0.0</v>
      </c>
      <c r="F6" s="14" t="s">
        <v>9</v>
      </c>
      <c r="G6" s="1" t="s">
        <v>28</v>
      </c>
      <c r="H6" s="10">
        <v>9.0</v>
      </c>
      <c r="I6" s="14" t="s">
        <v>9</v>
      </c>
      <c r="J6" s="5" t="s">
        <v>29</v>
      </c>
      <c r="K6" s="10">
        <v>2.0</v>
      </c>
      <c r="L6" s="14" t="s">
        <v>9</v>
      </c>
      <c r="M6" s="5" t="s">
        <v>30</v>
      </c>
      <c r="N6" s="10" t="s">
        <v>345</v>
      </c>
      <c r="O6" s="14"/>
      <c r="P6" s="9" t="s">
        <v>31</v>
      </c>
      <c r="Q6" s="10">
        <v>0.0</v>
      </c>
      <c r="R6" s="14" t="s">
        <v>9</v>
      </c>
      <c r="S6" s="5" t="s">
        <v>32</v>
      </c>
      <c r="T6" s="9"/>
      <c r="U6" s="9"/>
      <c r="V6" s="100" t="s">
        <v>381</v>
      </c>
      <c r="W6" s="101">
        <v>0.0</v>
      </c>
      <c r="X6" s="100"/>
      <c r="Y6" s="100" t="s">
        <v>210</v>
      </c>
      <c r="Z6" s="101">
        <v>0.0</v>
      </c>
    </row>
    <row r="7" ht="12.75" customHeight="1">
      <c r="A7" s="9"/>
      <c r="B7" s="10">
        <v>2.0</v>
      </c>
      <c r="C7" s="14" t="s">
        <v>9</v>
      </c>
      <c r="D7" s="5" t="s">
        <v>33</v>
      </c>
      <c r="E7" s="10" t="s">
        <v>345</v>
      </c>
      <c r="F7" s="14"/>
      <c r="G7" s="12" t="s">
        <v>34</v>
      </c>
      <c r="H7" s="10" t="s">
        <v>345</v>
      </c>
      <c r="I7" s="14"/>
      <c r="J7" s="12" t="s">
        <v>35</v>
      </c>
      <c r="K7" s="10">
        <v>0.0</v>
      </c>
      <c r="L7" s="14" t="s">
        <v>9</v>
      </c>
      <c r="M7" s="1" t="s">
        <v>36</v>
      </c>
      <c r="N7" s="10">
        <v>0.0</v>
      </c>
      <c r="O7" s="14" t="s">
        <v>9</v>
      </c>
      <c r="P7" s="5" t="s">
        <v>37</v>
      </c>
      <c r="Q7" s="10" t="s">
        <v>345</v>
      </c>
      <c r="R7" s="14"/>
      <c r="S7" s="12" t="s">
        <v>38</v>
      </c>
      <c r="T7" s="9"/>
      <c r="U7" s="9"/>
      <c r="V7" s="100" t="s">
        <v>220</v>
      </c>
      <c r="W7" s="101">
        <v>0.0</v>
      </c>
      <c r="X7" s="100"/>
      <c r="Y7" s="100" t="s">
        <v>234</v>
      </c>
      <c r="Z7" s="101">
        <v>6.0</v>
      </c>
    </row>
    <row r="8" ht="12.75" customHeight="1">
      <c r="A8" s="9"/>
      <c r="B8" s="10" t="s">
        <v>345</v>
      </c>
      <c r="C8" s="14"/>
      <c r="D8" s="12" t="s">
        <v>39</v>
      </c>
      <c r="E8" s="10" t="s">
        <v>345</v>
      </c>
      <c r="F8" s="14"/>
      <c r="G8" s="9" t="s">
        <v>351</v>
      </c>
      <c r="H8" s="10">
        <v>0.0</v>
      </c>
      <c r="I8" s="14" t="s">
        <v>9</v>
      </c>
      <c r="J8" s="1" t="s">
        <v>41</v>
      </c>
      <c r="K8" s="10" t="s">
        <v>345</v>
      </c>
      <c r="L8" s="14"/>
      <c r="M8" s="12" t="s">
        <v>42</v>
      </c>
      <c r="N8" s="10">
        <v>0.0</v>
      </c>
      <c r="O8" s="14" t="s">
        <v>9</v>
      </c>
      <c r="P8" s="15" t="s">
        <v>43</v>
      </c>
      <c r="Q8" s="10" t="s">
        <v>345</v>
      </c>
      <c r="R8" s="14"/>
      <c r="S8" s="18" t="s">
        <v>44</v>
      </c>
      <c r="T8" s="9"/>
      <c r="U8" s="9"/>
      <c r="V8" s="100" t="s">
        <v>238</v>
      </c>
      <c r="W8" s="101">
        <v>12.0</v>
      </c>
      <c r="X8" s="100"/>
      <c r="Y8" s="100" t="s">
        <v>240</v>
      </c>
      <c r="Z8" s="101">
        <v>5.0</v>
      </c>
    </row>
    <row r="9" ht="12.75" customHeight="1">
      <c r="A9" s="9"/>
      <c r="B9" s="10" t="s">
        <v>345</v>
      </c>
      <c r="C9" s="14"/>
      <c r="D9" s="12" t="s">
        <v>45</v>
      </c>
      <c r="E9" s="10">
        <v>0.0</v>
      </c>
      <c r="F9" s="14" t="s">
        <v>9</v>
      </c>
      <c r="G9" s="5" t="s">
        <v>46</v>
      </c>
      <c r="H9" s="10" t="s">
        <v>345</v>
      </c>
      <c r="I9" s="14"/>
      <c r="J9" s="12" t="s">
        <v>47</v>
      </c>
      <c r="K9" s="10" t="s">
        <v>345</v>
      </c>
      <c r="L9" s="14"/>
      <c r="M9" s="12" t="s">
        <v>48</v>
      </c>
      <c r="N9" s="10" t="s">
        <v>345</v>
      </c>
      <c r="O9" s="14"/>
      <c r="P9" s="25" t="s">
        <v>373</v>
      </c>
      <c r="Q9" s="10">
        <v>12.0</v>
      </c>
      <c r="R9" s="14" t="s">
        <v>9</v>
      </c>
      <c r="S9" s="5" t="s">
        <v>50</v>
      </c>
      <c r="T9" s="9"/>
      <c r="U9" s="9"/>
      <c r="V9" s="100" t="s">
        <v>256</v>
      </c>
      <c r="W9" s="101">
        <v>4.0</v>
      </c>
      <c r="X9" s="100"/>
      <c r="Y9" s="100" t="s">
        <v>252</v>
      </c>
      <c r="Z9" s="101">
        <v>7.0</v>
      </c>
    </row>
    <row r="10" ht="12.75" customHeight="1">
      <c r="A10" s="9"/>
      <c r="B10" s="10"/>
      <c r="C10" s="3"/>
      <c r="D10" s="9"/>
      <c r="E10" s="10"/>
      <c r="F10" s="3"/>
      <c r="G10" s="9"/>
      <c r="H10" s="10" t="s">
        <v>345</v>
      </c>
      <c r="I10" s="3"/>
      <c r="J10" s="9"/>
      <c r="K10" s="10"/>
      <c r="L10" s="3"/>
      <c r="M10" s="9"/>
      <c r="N10" s="10"/>
      <c r="O10" s="3"/>
      <c r="P10" s="9"/>
      <c r="Q10" s="10"/>
      <c r="R10" s="3"/>
      <c r="S10" s="9"/>
      <c r="T10" s="9"/>
      <c r="U10" s="9"/>
      <c r="V10" s="100" t="s">
        <v>268</v>
      </c>
      <c r="W10" s="101">
        <v>0.0</v>
      </c>
      <c r="X10" s="100"/>
      <c r="Y10" s="100" t="s">
        <v>270</v>
      </c>
      <c r="Z10" s="101">
        <v>0.0</v>
      </c>
    </row>
    <row r="11" ht="12.75" customHeight="1">
      <c r="A11" s="9" t="s">
        <v>51</v>
      </c>
      <c r="B11" s="10" t="s">
        <v>345</v>
      </c>
      <c r="C11" s="14"/>
      <c r="D11" s="9" t="s">
        <v>52</v>
      </c>
      <c r="E11" s="10">
        <v>0.0</v>
      </c>
      <c r="F11" s="14" t="s">
        <v>9</v>
      </c>
      <c r="G11" s="1" t="s">
        <v>53</v>
      </c>
      <c r="H11" s="10">
        <v>3.0</v>
      </c>
      <c r="I11" s="14" t="s">
        <v>9</v>
      </c>
      <c r="J11" s="1" t="s">
        <v>54</v>
      </c>
      <c r="K11" s="10">
        <v>0.0</v>
      </c>
      <c r="L11" s="14" t="s">
        <v>9</v>
      </c>
      <c r="M11" s="5" t="s">
        <v>55</v>
      </c>
      <c r="N11" s="10">
        <v>2.0</v>
      </c>
      <c r="O11" s="14" t="s">
        <v>9</v>
      </c>
      <c r="P11" s="1" t="s">
        <v>56</v>
      </c>
      <c r="Q11" s="10">
        <v>4.0</v>
      </c>
      <c r="R11" s="14" t="s">
        <v>9</v>
      </c>
      <c r="S11" s="5" t="s">
        <v>57</v>
      </c>
      <c r="T11" s="9"/>
      <c r="U11" s="9"/>
      <c r="V11" s="100"/>
      <c r="W11" s="101">
        <v>47.0</v>
      </c>
      <c r="X11" s="100"/>
      <c r="Y11" s="100"/>
      <c r="Z11" s="101">
        <v>39.0</v>
      </c>
    </row>
    <row r="12" ht="12.75" customHeight="1">
      <c r="A12" s="9"/>
      <c r="B12" s="10">
        <v>8.0</v>
      </c>
      <c r="C12" s="14" t="s">
        <v>9</v>
      </c>
      <c r="D12" s="1" t="s">
        <v>58</v>
      </c>
      <c r="E12" s="10" t="s">
        <v>345</v>
      </c>
      <c r="F12" s="14"/>
      <c r="G12" s="9" t="s">
        <v>59</v>
      </c>
      <c r="H12" s="10" t="s">
        <v>345</v>
      </c>
      <c r="I12" s="14"/>
      <c r="J12" s="12" t="s">
        <v>60</v>
      </c>
      <c r="K12" s="10" t="s">
        <v>345</v>
      </c>
      <c r="L12" s="14"/>
      <c r="M12" s="9" t="s">
        <v>61</v>
      </c>
      <c r="N12" s="10">
        <v>8.0</v>
      </c>
      <c r="O12" s="14" t="s">
        <v>9</v>
      </c>
      <c r="P12" s="1" t="s">
        <v>62</v>
      </c>
      <c r="Q12" s="10">
        <v>8.0</v>
      </c>
      <c r="R12" s="14" t="s">
        <v>9</v>
      </c>
      <c r="S12" s="1" t="s">
        <v>63</v>
      </c>
      <c r="T12" s="9"/>
      <c r="U12" s="9"/>
      <c r="V12" s="100"/>
      <c r="W12" s="101"/>
      <c r="X12" s="100"/>
      <c r="Y12" s="100"/>
      <c r="Z12" s="101"/>
    </row>
    <row r="13" ht="12.75" customHeight="1">
      <c r="A13" s="9"/>
      <c r="B13" s="10">
        <v>12.0</v>
      </c>
      <c r="C13" s="14" t="s">
        <v>9</v>
      </c>
      <c r="D13" s="5" t="s">
        <v>64</v>
      </c>
      <c r="E13" s="10" t="s">
        <v>345</v>
      </c>
      <c r="F13" s="14"/>
      <c r="G13" s="12" t="s">
        <v>354</v>
      </c>
      <c r="H13" s="10" t="s">
        <v>345</v>
      </c>
      <c r="I13" s="14"/>
      <c r="J13" s="12" t="s">
        <v>66</v>
      </c>
      <c r="K13" s="10">
        <v>0.0</v>
      </c>
      <c r="L13" s="14" t="s">
        <v>9</v>
      </c>
      <c r="M13" s="1" t="s">
        <v>67</v>
      </c>
      <c r="N13" s="10" t="s">
        <v>345</v>
      </c>
      <c r="O13" s="14"/>
      <c r="P13" s="12" t="s">
        <v>68</v>
      </c>
      <c r="Q13" s="10" t="s">
        <v>345</v>
      </c>
      <c r="R13" s="14"/>
      <c r="S13" s="17" t="s">
        <v>69</v>
      </c>
      <c r="T13" s="9"/>
      <c r="U13" s="9"/>
      <c r="V13" s="98" t="s">
        <v>322</v>
      </c>
      <c r="W13" s="99"/>
      <c r="X13" s="98"/>
      <c r="Y13" s="98" t="s">
        <v>320</v>
      </c>
      <c r="Z13" s="99"/>
    </row>
    <row r="14" ht="12.75" customHeight="1">
      <c r="A14" s="9"/>
      <c r="B14" s="10" t="s">
        <v>345</v>
      </c>
      <c r="C14" s="14"/>
      <c r="D14" s="12" t="s">
        <v>70</v>
      </c>
      <c r="E14" s="10">
        <v>0.0</v>
      </c>
      <c r="F14" s="14" t="s">
        <v>9</v>
      </c>
      <c r="G14" s="5" t="s">
        <v>71</v>
      </c>
      <c r="H14" s="10">
        <v>3.0</v>
      </c>
      <c r="I14" s="14" t="s">
        <v>9</v>
      </c>
      <c r="J14" s="5" t="s">
        <v>72</v>
      </c>
      <c r="K14" s="10" t="s">
        <v>345</v>
      </c>
      <c r="L14" s="14"/>
      <c r="M14" s="12" t="s">
        <v>73</v>
      </c>
      <c r="N14" s="10" t="s">
        <v>345</v>
      </c>
      <c r="O14" s="14"/>
      <c r="P14" s="12" t="s">
        <v>74</v>
      </c>
      <c r="Q14" s="10" t="s">
        <v>345</v>
      </c>
      <c r="R14" s="14"/>
      <c r="S14" s="12" t="s">
        <v>75</v>
      </c>
      <c r="T14" s="9"/>
      <c r="U14" s="9"/>
      <c r="V14" s="100" t="s">
        <v>12</v>
      </c>
      <c r="W14" s="101">
        <v>21.0</v>
      </c>
      <c r="X14" s="100"/>
      <c r="Y14" s="100" t="s">
        <v>22</v>
      </c>
      <c r="Z14" s="101">
        <v>8.0</v>
      </c>
    </row>
    <row r="15" ht="12.75" customHeight="1">
      <c r="A15" s="9"/>
      <c r="B15" s="10"/>
      <c r="C15" s="3"/>
      <c r="D15" s="9"/>
      <c r="E15" s="10"/>
      <c r="F15" s="3"/>
      <c r="G15" s="9"/>
      <c r="H15" s="10" t="s">
        <v>345</v>
      </c>
      <c r="I15" s="3"/>
      <c r="J15" s="9"/>
      <c r="K15" s="10"/>
      <c r="L15" s="3"/>
      <c r="M15" s="9"/>
      <c r="N15" s="10"/>
      <c r="O15" s="3"/>
      <c r="P15" s="9"/>
      <c r="Q15" s="10"/>
      <c r="R15" s="3"/>
      <c r="S15" s="9"/>
      <c r="T15" s="9"/>
      <c r="U15" s="9"/>
      <c r="V15" s="100" t="s">
        <v>37</v>
      </c>
      <c r="W15" s="101">
        <v>0.0</v>
      </c>
      <c r="X15" s="100"/>
      <c r="Y15" s="100" t="s">
        <v>29</v>
      </c>
      <c r="Z15" s="101">
        <v>9.0</v>
      </c>
    </row>
    <row r="16" ht="12.75" customHeight="1">
      <c r="A16" s="9" t="s">
        <v>76</v>
      </c>
      <c r="B16" s="10" t="s">
        <v>345</v>
      </c>
      <c r="C16" s="14"/>
      <c r="D16" s="9" t="s">
        <v>77</v>
      </c>
      <c r="E16" s="10">
        <v>9.0</v>
      </c>
      <c r="F16" s="14" t="s">
        <v>9</v>
      </c>
      <c r="G16" s="5" t="s">
        <v>78</v>
      </c>
      <c r="H16" s="10" t="s">
        <v>345</v>
      </c>
      <c r="I16" s="14"/>
      <c r="J16" s="9" t="s">
        <v>79</v>
      </c>
      <c r="K16" s="10">
        <v>4.0</v>
      </c>
      <c r="L16" s="14" t="s">
        <v>9</v>
      </c>
      <c r="M16" s="1" t="s">
        <v>80</v>
      </c>
      <c r="N16" s="10" t="s">
        <v>345</v>
      </c>
      <c r="O16" s="14"/>
      <c r="P16" s="12" t="s">
        <v>81</v>
      </c>
      <c r="Q16" s="10">
        <v>1.0</v>
      </c>
      <c r="R16" s="14" t="s">
        <v>9</v>
      </c>
      <c r="S16" s="1" t="s">
        <v>82</v>
      </c>
      <c r="T16" s="9"/>
      <c r="U16" s="9"/>
      <c r="V16" s="100" t="s">
        <v>43</v>
      </c>
      <c r="W16" s="101">
        <v>0.0</v>
      </c>
      <c r="X16" s="100"/>
      <c r="Y16" s="100" t="s">
        <v>41</v>
      </c>
      <c r="Z16" s="101">
        <v>0.0</v>
      </c>
    </row>
    <row r="17" ht="12.75" customHeight="1">
      <c r="A17" s="9"/>
      <c r="B17" s="10">
        <v>0.0</v>
      </c>
      <c r="C17" s="14" t="s">
        <v>9</v>
      </c>
      <c r="D17" s="5" t="s">
        <v>83</v>
      </c>
      <c r="E17" s="10" t="s">
        <v>345</v>
      </c>
      <c r="F17" s="14"/>
      <c r="G17" s="9" t="s">
        <v>84</v>
      </c>
      <c r="H17" s="10" t="s">
        <v>345</v>
      </c>
      <c r="I17" s="14"/>
      <c r="J17" s="9" t="s">
        <v>85</v>
      </c>
      <c r="K17" s="10" t="s">
        <v>345</v>
      </c>
      <c r="L17" s="14"/>
      <c r="M17" s="12" t="s">
        <v>86</v>
      </c>
      <c r="N17" s="10">
        <v>6.0</v>
      </c>
      <c r="O17" s="14" t="s">
        <v>9</v>
      </c>
      <c r="P17" s="1" t="s">
        <v>87</v>
      </c>
      <c r="Q17" s="10" t="s">
        <v>345</v>
      </c>
      <c r="R17" s="14"/>
      <c r="S17" s="12" t="s">
        <v>88</v>
      </c>
      <c r="T17" s="9"/>
      <c r="U17" s="9"/>
      <c r="V17" s="100" t="s">
        <v>56</v>
      </c>
      <c r="W17" s="101">
        <v>2.0</v>
      </c>
      <c r="X17" s="100"/>
      <c r="Y17" s="100" t="s">
        <v>54</v>
      </c>
      <c r="Z17" s="101">
        <v>3.0</v>
      </c>
    </row>
    <row r="18" ht="12.75" customHeight="1">
      <c r="A18" s="9"/>
      <c r="B18" s="10" t="s">
        <v>345</v>
      </c>
      <c r="C18" s="14"/>
      <c r="D18" s="12" t="s">
        <v>89</v>
      </c>
      <c r="E18" s="10" t="s">
        <v>345</v>
      </c>
      <c r="F18" s="14"/>
      <c r="G18" s="12" t="s">
        <v>90</v>
      </c>
      <c r="H18" s="10">
        <v>0.0</v>
      </c>
      <c r="I18" s="14" t="s">
        <v>9</v>
      </c>
      <c r="J18" s="5" t="s">
        <v>91</v>
      </c>
      <c r="K18" s="10" t="s">
        <v>345</v>
      </c>
      <c r="L18" s="14"/>
      <c r="M18" s="9" t="s">
        <v>92</v>
      </c>
      <c r="N18" s="10" t="s">
        <v>345</v>
      </c>
      <c r="O18" s="14"/>
      <c r="P18" s="12" t="s">
        <v>93</v>
      </c>
      <c r="Q18" s="10" t="s">
        <v>345</v>
      </c>
      <c r="R18" s="14"/>
      <c r="S18" s="12" t="s">
        <v>94</v>
      </c>
      <c r="T18" s="9"/>
      <c r="U18" s="9"/>
      <c r="V18" s="100" t="s">
        <v>62</v>
      </c>
      <c r="W18" s="101">
        <v>8.0</v>
      </c>
      <c r="X18" s="100"/>
      <c r="Y18" s="100" t="s">
        <v>72</v>
      </c>
      <c r="Z18" s="101">
        <v>3.0</v>
      </c>
    </row>
    <row r="19" ht="12.75" customHeight="1">
      <c r="A19" s="9"/>
      <c r="B19" s="10"/>
      <c r="C19" s="3"/>
      <c r="D19" s="9"/>
      <c r="E19" s="10"/>
      <c r="F19" s="3"/>
      <c r="G19" s="9"/>
      <c r="H19" s="10" t="s">
        <v>345</v>
      </c>
      <c r="I19" s="3"/>
      <c r="J19" s="9" t="s">
        <v>95</v>
      </c>
      <c r="K19" s="10"/>
      <c r="L19" s="3"/>
      <c r="M19" s="9"/>
      <c r="N19" s="10"/>
      <c r="O19" s="3"/>
      <c r="P19" s="9"/>
      <c r="Q19" s="10"/>
      <c r="R19" s="3"/>
      <c r="S19" s="9"/>
      <c r="T19" s="9"/>
      <c r="U19" s="9"/>
      <c r="V19" s="100" t="s">
        <v>87</v>
      </c>
      <c r="W19" s="101">
        <v>6.0</v>
      </c>
      <c r="X19" s="100"/>
      <c r="Y19" s="100" t="s">
        <v>91</v>
      </c>
      <c r="Z19" s="101">
        <v>0.0</v>
      </c>
    </row>
    <row r="20" ht="12.75" customHeight="1">
      <c r="A20" s="9" t="s">
        <v>96</v>
      </c>
      <c r="B20" s="10" t="s">
        <v>345</v>
      </c>
      <c r="C20" s="14"/>
      <c r="D20" s="12" t="s">
        <v>97</v>
      </c>
      <c r="E20" s="10">
        <v>1.0</v>
      </c>
      <c r="F20" s="14" t="s">
        <v>9</v>
      </c>
      <c r="G20" s="5" t="s">
        <v>98</v>
      </c>
      <c r="H20" s="10">
        <v>8.0</v>
      </c>
      <c r="I20" s="14" t="s">
        <v>9</v>
      </c>
      <c r="J20" s="1" t="s">
        <v>99</v>
      </c>
      <c r="K20" s="10">
        <v>7.0</v>
      </c>
      <c r="L20" s="14" t="s">
        <v>9</v>
      </c>
      <c r="M20" s="5" t="s">
        <v>100</v>
      </c>
      <c r="N20" s="10">
        <v>4.0</v>
      </c>
      <c r="O20" s="14" t="s">
        <v>9</v>
      </c>
      <c r="P20" s="1" t="s">
        <v>101</v>
      </c>
      <c r="Q20" s="10" t="s">
        <v>345</v>
      </c>
      <c r="R20" s="14"/>
      <c r="S20" s="12" t="s">
        <v>102</v>
      </c>
      <c r="T20" s="9"/>
      <c r="U20" s="9"/>
      <c r="V20" s="100" t="s">
        <v>101</v>
      </c>
      <c r="W20" s="101">
        <v>4.0</v>
      </c>
      <c r="X20" s="100"/>
      <c r="Y20" s="100" t="s">
        <v>99</v>
      </c>
      <c r="Z20" s="101">
        <v>8.0</v>
      </c>
    </row>
    <row r="21" ht="12.75" customHeight="1">
      <c r="A21" s="9"/>
      <c r="B21" s="10">
        <v>8.0</v>
      </c>
      <c r="C21" s="14" t="s">
        <v>9</v>
      </c>
      <c r="D21" s="1" t="s">
        <v>103</v>
      </c>
      <c r="E21" s="10" t="s">
        <v>345</v>
      </c>
      <c r="F21" s="14"/>
      <c r="G21" s="12" t="s">
        <v>104</v>
      </c>
      <c r="H21" s="10" t="s">
        <v>345</v>
      </c>
      <c r="I21" s="14"/>
      <c r="J21" s="9" t="s">
        <v>105</v>
      </c>
      <c r="K21" s="10" t="s">
        <v>345</v>
      </c>
      <c r="L21" s="14"/>
      <c r="M21" s="9" t="s">
        <v>106</v>
      </c>
      <c r="N21" s="10" t="s">
        <v>345</v>
      </c>
      <c r="O21" s="14"/>
      <c r="P21" s="18" t="s">
        <v>107</v>
      </c>
      <c r="Q21" s="10">
        <v>8.0</v>
      </c>
      <c r="R21" s="14" t="s">
        <v>9</v>
      </c>
      <c r="S21" s="1" t="s">
        <v>108</v>
      </c>
      <c r="T21" s="9"/>
      <c r="U21" s="9"/>
      <c r="V21" s="100" t="s">
        <v>120</v>
      </c>
      <c r="W21" s="101">
        <v>1.0</v>
      </c>
      <c r="X21" s="100"/>
      <c r="Y21" s="100" t="s">
        <v>112</v>
      </c>
      <c r="Z21" s="101">
        <v>2.0</v>
      </c>
    </row>
    <row r="22" ht="12.75" customHeight="1">
      <c r="A22" s="9"/>
      <c r="B22" s="10"/>
      <c r="C22" s="3"/>
      <c r="D22" s="9"/>
      <c r="E22" s="10"/>
      <c r="F22" s="3"/>
      <c r="G22" s="9"/>
      <c r="H22" s="10" t="s">
        <v>345</v>
      </c>
      <c r="I22" s="3"/>
      <c r="J22" s="9"/>
      <c r="K22" s="10"/>
      <c r="L22" s="3"/>
      <c r="M22" s="9"/>
      <c r="N22" s="10"/>
      <c r="O22" s="3"/>
      <c r="P22" s="9"/>
      <c r="Q22" s="10"/>
      <c r="R22" s="3"/>
      <c r="S22" s="9"/>
      <c r="T22" s="9"/>
      <c r="U22" s="9"/>
      <c r="V22" s="100" t="s">
        <v>133</v>
      </c>
      <c r="W22" s="101">
        <v>4.0</v>
      </c>
      <c r="X22" s="100"/>
      <c r="Y22" s="100" t="s">
        <v>125</v>
      </c>
      <c r="Z22" s="101">
        <v>5.0</v>
      </c>
    </row>
    <row r="23" ht="12.75" customHeight="1">
      <c r="A23" s="9" t="s">
        <v>109</v>
      </c>
      <c r="B23" s="10" t="s">
        <v>345</v>
      </c>
      <c r="C23" s="14"/>
      <c r="D23" s="9" t="s">
        <v>110</v>
      </c>
      <c r="E23" s="10">
        <v>7.0</v>
      </c>
      <c r="F23" s="14" t="s">
        <v>9</v>
      </c>
      <c r="G23" s="5" t="s">
        <v>111</v>
      </c>
      <c r="H23" s="10">
        <v>2.0</v>
      </c>
      <c r="I23" s="14" t="s">
        <v>9</v>
      </c>
      <c r="J23" s="1" t="s">
        <v>112</v>
      </c>
      <c r="K23" s="10">
        <v>9.0</v>
      </c>
      <c r="L23" s="14" t="s">
        <v>9</v>
      </c>
      <c r="M23" s="1" t="s">
        <v>113</v>
      </c>
      <c r="N23" s="10" t="s">
        <v>345</v>
      </c>
      <c r="O23" s="14"/>
      <c r="P23" s="9" t="s">
        <v>114</v>
      </c>
      <c r="Q23" s="10" t="s">
        <v>345</v>
      </c>
      <c r="R23" s="14"/>
      <c r="S23" s="12" t="s">
        <v>115</v>
      </c>
      <c r="T23" s="9"/>
      <c r="U23" s="9"/>
      <c r="V23" s="100"/>
      <c r="W23" s="101">
        <v>46.0</v>
      </c>
      <c r="X23" s="100"/>
      <c r="Y23" s="100"/>
      <c r="Z23" s="101">
        <v>38.0</v>
      </c>
    </row>
    <row r="24" ht="12.75" customHeight="1">
      <c r="A24" s="9"/>
      <c r="B24" s="10">
        <v>6.0</v>
      </c>
      <c r="C24" s="14" t="s">
        <v>9</v>
      </c>
      <c r="D24" s="1" t="s">
        <v>116</v>
      </c>
      <c r="E24" s="10" t="s">
        <v>345</v>
      </c>
      <c r="F24" s="14"/>
      <c r="G24" s="12" t="s">
        <v>117</v>
      </c>
      <c r="H24" s="10" t="s">
        <v>345</v>
      </c>
      <c r="I24" s="14"/>
      <c r="J24" s="9" t="s">
        <v>118</v>
      </c>
      <c r="K24" s="10" t="s">
        <v>345</v>
      </c>
      <c r="L24" s="14"/>
      <c r="M24" s="12" t="s">
        <v>119</v>
      </c>
      <c r="N24" s="10">
        <v>1.0</v>
      </c>
      <c r="O24" s="14" t="s">
        <v>9</v>
      </c>
      <c r="P24" s="1" t="s">
        <v>120</v>
      </c>
      <c r="Q24" s="10">
        <v>10.0</v>
      </c>
      <c r="R24" s="14" t="s">
        <v>9</v>
      </c>
      <c r="S24" s="5" t="s">
        <v>121</v>
      </c>
      <c r="T24" s="9"/>
      <c r="U24" s="9"/>
      <c r="V24" s="100"/>
      <c r="W24" s="101"/>
      <c r="X24" s="100"/>
      <c r="Y24" s="100"/>
      <c r="Z24" s="101"/>
    </row>
    <row r="25" ht="12.75" customHeight="1">
      <c r="A25" s="9"/>
      <c r="B25" s="10"/>
      <c r="C25" s="3"/>
      <c r="D25" s="9"/>
      <c r="E25" s="10"/>
      <c r="F25" s="3"/>
      <c r="G25" s="9"/>
      <c r="H25" s="10" t="s">
        <v>345</v>
      </c>
      <c r="I25" s="3"/>
      <c r="J25" s="9"/>
      <c r="K25" s="10"/>
      <c r="L25" s="3"/>
      <c r="M25" s="9"/>
      <c r="N25" s="10"/>
      <c r="O25" s="3"/>
      <c r="P25" s="9"/>
      <c r="Q25" s="10"/>
      <c r="R25" s="3"/>
      <c r="S25" s="9"/>
      <c r="T25" s="9"/>
      <c r="U25" s="9"/>
      <c r="V25" s="98" t="s">
        <v>319</v>
      </c>
      <c r="W25" s="99"/>
      <c r="X25" s="98"/>
      <c r="Y25" s="98" t="s">
        <v>325</v>
      </c>
      <c r="Z25" s="99"/>
    </row>
    <row r="26" ht="12.75" customHeight="1">
      <c r="A26" s="9" t="s">
        <v>122</v>
      </c>
      <c r="B26" s="10">
        <v>4.0</v>
      </c>
      <c r="C26" s="14" t="s">
        <v>9</v>
      </c>
      <c r="D26" s="5" t="s">
        <v>123</v>
      </c>
      <c r="E26" s="10">
        <v>0.0</v>
      </c>
      <c r="F26" s="14" t="s">
        <v>9</v>
      </c>
      <c r="G26" s="5" t="s">
        <v>124</v>
      </c>
      <c r="H26" s="10">
        <v>5.0</v>
      </c>
      <c r="I26" s="14" t="s">
        <v>9</v>
      </c>
      <c r="J26" s="1" t="s">
        <v>125</v>
      </c>
      <c r="K26" s="10">
        <v>5.0</v>
      </c>
      <c r="L26" s="14" t="s">
        <v>9</v>
      </c>
      <c r="M26" s="1" t="s">
        <v>126</v>
      </c>
      <c r="N26" s="10" t="s">
        <v>345</v>
      </c>
      <c r="O26" s="14"/>
      <c r="P26" s="9" t="s">
        <v>127</v>
      </c>
      <c r="Q26" s="10">
        <v>6.0</v>
      </c>
      <c r="R26" s="14" t="s">
        <v>9</v>
      </c>
      <c r="S26" s="5" t="s">
        <v>128</v>
      </c>
      <c r="T26" s="9"/>
      <c r="U26" s="9"/>
      <c r="V26" s="100" t="s">
        <v>8</v>
      </c>
      <c r="W26" s="101">
        <v>5.0</v>
      </c>
      <c r="X26" s="100"/>
      <c r="Y26" s="100" t="s">
        <v>152</v>
      </c>
      <c r="Z26" s="101">
        <v>13.0</v>
      </c>
    </row>
    <row r="27" ht="12.75" customHeight="1">
      <c r="A27" s="9"/>
      <c r="B27" s="10" t="s">
        <v>345</v>
      </c>
      <c r="C27" s="14"/>
      <c r="D27" s="9" t="s">
        <v>129</v>
      </c>
      <c r="E27" s="10" t="s">
        <v>345</v>
      </c>
      <c r="F27" s="14"/>
      <c r="G27" s="9" t="s">
        <v>130</v>
      </c>
      <c r="H27" s="10" t="s">
        <v>345</v>
      </c>
      <c r="I27" s="14"/>
      <c r="J27" s="12" t="s">
        <v>131</v>
      </c>
      <c r="K27" s="10" t="s">
        <v>345</v>
      </c>
      <c r="L27" s="14"/>
      <c r="M27" s="9" t="s">
        <v>132</v>
      </c>
      <c r="N27" s="10">
        <v>4.0</v>
      </c>
      <c r="O27" s="14" t="s">
        <v>9</v>
      </c>
      <c r="P27" s="5" t="s">
        <v>133</v>
      </c>
      <c r="Q27" s="10" t="s">
        <v>345</v>
      </c>
      <c r="R27" s="14"/>
      <c r="S27" s="9" t="s">
        <v>134</v>
      </c>
      <c r="T27" s="9"/>
      <c r="U27" s="9"/>
      <c r="V27" s="100" t="s">
        <v>28</v>
      </c>
      <c r="W27" s="101">
        <v>0.0</v>
      </c>
      <c r="X27" s="100"/>
      <c r="Y27" s="100" t="s">
        <v>170</v>
      </c>
      <c r="Z27" s="101">
        <v>16.0</v>
      </c>
    </row>
    <row r="28" ht="12.75" customHeight="1">
      <c r="A28" s="9"/>
      <c r="B28" s="2"/>
      <c r="C28" s="3"/>
      <c r="D28" s="9"/>
      <c r="E28" s="10"/>
      <c r="F28" s="3"/>
      <c r="G28" s="9"/>
      <c r="H28" s="10"/>
      <c r="I28" s="3"/>
      <c r="J28" s="9"/>
      <c r="K28" s="10"/>
      <c r="L28" s="3"/>
      <c r="M28" s="9"/>
      <c r="N28" s="10"/>
      <c r="O28" s="3"/>
      <c r="P28" s="12" t="s">
        <v>95</v>
      </c>
      <c r="Q28" s="10"/>
      <c r="R28" s="3"/>
      <c r="S28" s="9"/>
      <c r="T28" s="9"/>
      <c r="U28" s="9"/>
      <c r="V28" s="100" t="s">
        <v>46</v>
      </c>
      <c r="W28" s="101">
        <v>0.0</v>
      </c>
      <c r="X28" s="100"/>
      <c r="Y28" s="100" t="s">
        <v>176</v>
      </c>
      <c r="Z28" s="101">
        <v>0.0</v>
      </c>
    </row>
    <row r="29" ht="12.75" customHeight="1">
      <c r="A29" s="19"/>
      <c r="B29" s="20"/>
      <c r="C29" s="21"/>
      <c r="D29" s="22">
        <v>50.0</v>
      </c>
      <c r="E29" s="20"/>
      <c r="F29" s="21"/>
      <c r="G29" s="22">
        <v>22.0</v>
      </c>
      <c r="H29" s="20"/>
      <c r="I29" s="21"/>
      <c r="J29" s="22">
        <v>38.0</v>
      </c>
      <c r="K29" s="20"/>
      <c r="L29" s="21"/>
      <c r="M29" s="22">
        <v>54.0</v>
      </c>
      <c r="N29" s="20"/>
      <c r="O29" s="21"/>
      <c r="P29" s="22">
        <v>46.0</v>
      </c>
      <c r="Q29" s="20"/>
      <c r="R29" s="21"/>
      <c r="S29" s="22">
        <v>54.0</v>
      </c>
      <c r="T29" s="19"/>
      <c r="U29" s="19"/>
      <c r="V29" s="100" t="s">
        <v>53</v>
      </c>
      <c r="W29" s="101">
        <v>0.0</v>
      </c>
      <c r="X29" s="100"/>
      <c r="Y29" s="100" t="s">
        <v>194</v>
      </c>
      <c r="Z29" s="101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6"/>
      <c r="S30" s="9"/>
      <c r="T30" s="9"/>
      <c r="U30" s="9"/>
      <c r="V30" s="100" t="s">
        <v>71</v>
      </c>
      <c r="W30" s="101">
        <v>0.0</v>
      </c>
      <c r="X30" s="100"/>
      <c r="Y30" s="100" t="s">
        <v>200</v>
      </c>
      <c r="Z30" s="101">
        <v>2.0</v>
      </c>
    </row>
    <row r="31" ht="12.75" customHeight="1">
      <c r="A31" s="9" t="s">
        <v>135</v>
      </c>
      <c r="B31" s="2"/>
      <c r="C31" s="3"/>
      <c r="D31" s="9" t="s">
        <v>136</v>
      </c>
      <c r="E31" s="2"/>
      <c r="F31" s="6"/>
      <c r="G31" s="9" t="s">
        <v>137</v>
      </c>
      <c r="H31" s="2"/>
      <c r="I31" s="6"/>
      <c r="J31" s="9" t="s">
        <v>138</v>
      </c>
      <c r="K31" s="2"/>
      <c r="L31" s="6"/>
      <c r="M31" s="9" t="s">
        <v>139</v>
      </c>
      <c r="N31" s="2"/>
      <c r="O31" s="6"/>
      <c r="P31" s="9" t="s">
        <v>140</v>
      </c>
      <c r="Q31" s="2"/>
      <c r="R31" s="6"/>
      <c r="S31" s="9" t="s">
        <v>141</v>
      </c>
      <c r="T31" s="9"/>
      <c r="U31" s="9"/>
      <c r="V31" s="100" t="s">
        <v>78</v>
      </c>
      <c r="W31" s="101">
        <v>9.0</v>
      </c>
      <c r="X31" s="100"/>
      <c r="Y31" s="100" t="s">
        <v>218</v>
      </c>
      <c r="Z31" s="101">
        <v>8.0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142</v>
      </c>
      <c r="Q32" s="2"/>
      <c r="R32" s="6"/>
      <c r="S32" s="9"/>
      <c r="T32" s="9"/>
      <c r="U32" s="9"/>
      <c r="V32" s="100" t="s">
        <v>98</v>
      </c>
      <c r="W32" s="101">
        <v>1.0</v>
      </c>
      <c r="X32" s="100"/>
      <c r="Y32" s="100" t="s">
        <v>242</v>
      </c>
      <c r="Z32" s="101">
        <v>2.0</v>
      </c>
    </row>
    <row r="33" ht="12.75" customHeight="1">
      <c r="A33" s="9"/>
      <c r="B33" s="2"/>
      <c r="C33" s="3"/>
      <c r="D33" s="25"/>
      <c r="E33" s="26"/>
      <c r="F33" s="26"/>
      <c r="G33" s="25"/>
      <c r="H33" s="26"/>
      <c r="I33" s="26"/>
      <c r="J33" s="25"/>
      <c r="K33" s="25"/>
      <c r="L33" s="26"/>
      <c r="M33" s="25"/>
      <c r="P33" s="25"/>
      <c r="R33" s="3"/>
      <c r="S33" s="25"/>
      <c r="T33" s="6"/>
      <c r="U33" s="26"/>
      <c r="V33" s="103" t="s">
        <v>111</v>
      </c>
      <c r="W33" s="101">
        <v>7.0</v>
      </c>
      <c r="X33" s="100"/>
      <c r="Y33" s="100" t="s">
        <v>248</v>
      </c>
      <c r="Z33" s="101">
        <v>5.0</v>
      </c>
    </row>
    <row r="34" ht="12.75" customHeight="1">
      <c r="A34" s="9" t="s">
        <v>143</v>
      </c>
      <c r="B34" s="9"/>
      <c r="C34" s="3"/>
      <c r="D34" s="25"/>
      <c r="E34" s="26"/>
      <c r="F34" s="26"/>
      <c r="G34" s="25"/>
      <c r="H34" s="26"/>
      <c r="I34" s="26"/>
      <c r="J34" s="25"/>
      <c r="K34" s="25"/>
      <c r="L34" s="26"/>
      <c r="M34" s="25"/>
      <c r="P34" s="25"/>
      <c r="R34" s="3"/>
      <c r="S34" s="25"/>
      <c r="T34" s="6"/>
      <c r="U34" s="26"/>
      <c r="V34" s="103" t="s">
        <v>124</v>
      </c>
      <c r="W34" s="101">
        <v>0.0</v>
      </c>
      <c r="X34" s="100"/>
      <c r="Y34" s="100" t="s">
        <v>266</v>
      </c>
      <c r="Z34" s="101">
        <v>5.0</v>
      </c>
    </row>
    <row r="35" ht="12.75" customHeight="1">
      <c r="A35" s="9"/>
      <c r="B35" s="9"/>
      <c r="C35" s="3"/>
      <c r="D35" s="12"/>
      <c r="E35" s="26"/>
      <c r="F35" s="26"/>
      <c r="G35" s="12"/>
      <c r="H35" s="26"/>
      <c r="I35" s="26"/>
      <c r="J35" s="25"/>
      <c r="K35" s="25"/>
      <c r="L35" s="26"/>
      <c r="M35" s="25"/>
      <c r="P35" s="25"/>
      <c r="R35" s="3"/>
      <c r="S35" s="25"/>
      <c r="T35" s="6"/>
      <c r="U35" s="9"/>
      <c r="V35" s="103"/>
      <c r="W35" s="101">
        <v>22.0</v>
      </c>
      <c r="X35" s="100"/>
      <c r="Y35" s="100"/>
      <c r="Z35" s="101">
        <v>51.0</v>
      </c>
    </row>
    <row r="36" ht="12.75" customHeight="1">
      <c r="A36" s="9"/>
      <c r="B36" s="2"/>
      <c r="C36" s="3"/>
      <c r="D36" s="12"/>
      <c r="E36" s="2"/>
      <c r="F36" s="6"/>
      <c r="G36" s="12"/>
      <c r="H36" s="2"/>
      <c r="I36" s="6"/>
      <c r="J36" s="25"/>
      <c r="K36" s="9"/>
      <c r="L36" s="6"/>
      <c r="M36" s="25"/>
      <c r="N36" s="26"/>
      <c r="O36" s="26"/>
      <c r="P36" s="25"/>
      <c r="Q36" s="26"/>
      <c r="R36" s="3"/>
      <c r="S36" s="25"/>
      <c r="T36" s="6"/>
      <c r="U36" s="6"/>
      <c r="V36" s="100"/>
      <c r="W36" s="101"/>
      <c r="X36" s="100"/>
      <c r="Y36" s="100"/>
      <c r="Z36" s="101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6"/>
      <c r="S37" s="9"/>
      <c r="T37" s="9"/>
      <c r="U37" s="9"/>
      <c r="V37" s="98" t="s">
        <v>302</v>
      </c>
      <c r="W37" s="99"/>
      <c r="X37" s="98"/>
      <c r="Y37" s="98" t="s">
        <v>321</v>
      </c>
      <c r="Z37" s="99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6"/>
      <c r="S38" s="9"/>
      <c r="T38" s="9"/>
      <c r="U38" s="9"/>
      <c r="V38" s="100" t="s">
        <v>14</v>
      </c>
      <c r="W38" s="101">
        <v>2.0</v>
      </c>
      <c r="X38" s="100"/>
      <c r="Y38" s="100" t="s">
        <v>17</v>
      </c>
      <c r="Z38" s="101">
        <v>27.0</v>
      </c>
    </row>
    <row r="39" ht="12.75" customHeight="1">
      <c r="A39" s="1" t="s">
        <v>144</v>
      </c>
      <c r="B39" s="2"/>
      <c r="C39" s="3"/>
      <c r="D39" s="5" t="s">
        <v>145</v>
      </c>
      <c r="E39" s="2"/>
      <c r="F39" s="1"/>
      <c r="G39" s="5" t="s">
        <v>146</v>
      </c>
      <c r="H39" s="2"/>
      <c r="I39" s="1"/>
      <c r="J39" s="5" t="s">
        <v>147</v>
      </c>
      <c r="K39" s="2"/>
      <c r="L39" s="1"/>
      <c r="M39" s="5" t="s">
        <v>148</v>
      </c>
      <c r="N39" s="2"/>
      <c r="O39" s="1"/>
      <c r="P39" s="5" t="s">
        <v>149</v>
      </c>
      <c r="Q39" s="2"/>
      <c r="R39" s="6"/>
      <c r="S39" s="5" t="s">
        <v>150</v>
      </c>
      <c r="T39" s="1"/>
      <c r="U39" s="1"/>
      <c r="V39" s="100" t="s">
        <v>27</v>
      </c>
      <c r="W39" s="101">
        <v>8.0</v>
      </c>
      <c r="X39" s="100"/>
      <c r="Y39" s="100" t="s">
        <v>30</v>
      </c>
      <c r="Z39" s="101">
        <v>2.0</v>
      </c>
    </row>
    <row r="40" ht="12.75" customHeight="1">
      <c r="A40" s="9" t="s">
        <v>6</v>
      </c>
      <c r="B40" s="10">
        <v>18.0</v>
      </c>
      <c r="C40" s="14" t="s">
        <v>9</v>
      </c>
      <c r="D40" s="1" t="s">
        <v>151</v>
      </c>
      <c r="E40" s="10">
        <v>13.0</v>
      </c>
      <c r="F40" s="14" t="s">
        <v>9</v>
      </c>
      <c r="G40" s="1" t="s">
        <v>152</v>
      </c>
      <c r="H40" s="10" t="s">
        <v>345</v>
      </c>
      <c r="I40" s="14"/>
      <c r="J40" s="9" t="s">
        <v>153</v>
      </c>
      <c r="K40" s="10">
        <v>26.0</v>
      </c>
      <c r="L40" s="14" t="s">
        <v>9</v>
      </c>
      <c r="M40" s="1" t="s">
        <v>154</v>
      </c>
      <c r="N40" s="10">
        <v>4.0</v>
      </c>
      <c r="O40" s="14" t="s">
        <v>9</v>
      </c>
      <c r="P40" s="1" t="s">
        <v>155</v>
      </c>
      <c r="Q40" s="10" t="s">
        <v>345</v>
      </c>
      <c r="R40" s="14"/>
      <c r="S40" s="9" t="s">
        <v>156</v>
      </c>
      <c r="T40" s="9"/>
      <c r="U40" s="9"/>
      <c r="V40" s="100" t="s">
        <v>33</v>
      </c>
      <c r="W40" s="101">
        <v>2.0</v>
      </c>
      <c r="X40" s="100"/>
      <c r="Y40" s="100" t="s">
        <v>36</v>
      </c>
      <c r="Z40" s="101">
        <v>0.0</v>
      </c>
    </row>
    <row r="41" ht="12.75" customHeight="1">
      <c r="A41" s="9"/>
      <c r="B41" s="10" t="s">
        <v>345</v>
      </c>
      <c r="C41" s="14"/>
      <c r="D41" s="9" t="s">
        <v>157</v>
      </c>
      <c r="E41" s="10" t="s">
        <v>345</v>
      </c>
      <c r="F41" s="14"/>
      <c r="G41" s="9" t="s">
        <v>158</v>
      </c>
      <c r="H41" s="10">
        <v>27.0</v>
      </c>
      <c r="I41" s="14" t="s">
        <v>9</v>
      </c>
      <c r="J41" s="5" t="s">
        <v>159</v>
      </c>
      <c r="K41" s="10" t="s">
        <v>345</v>
      </c>
      <c r="L41" s="14"/>
      <c r="M41" s="9" t="s">
        <v>160</v>
      </c>
      <c r="N41" s="10" t="s">
        <v>345</v>
      </c>
      <c r="O41" s="14"/>
      <c r="P41" s="12" t="s">
        <v>161</v>
      </c>
      <c r="Q41" s="10">
        <v>15.0</v>
      </c>
      <c r="R41" s="14" t="s">
        <v>9</v>
      </c>
      <c r="S41" s="1" t="s">
        <v>162</v>
      </c>
      <c r="T41" s="9"/>
      <c r="U41" s="9"/>
      <c r="V41" s="100" t="s">
        <v>58</v>
      </c>
      <c r="W41" s="101">
        <v>8.0</v>
      </c>
      <c r="X41" s="100"/>
      <c r="Y41" s="100" t="s">
        <v>55</v>
      </c>
      <c r="Z41" s="101">
        <v>0.0</v>
      </c>
    </row>
    <row r="42" ht="12.75" customHeight="1">
      <c r="A42" s="9"/>
      <c r="B42" s="10" t="s">
        <v>345</v>
      </c>
      <c r="C42" s="14"/>
      <c r="D42" s="12" t="s">
        <v>163</v>
      </c>
      <c r="E42" s="10" t="s">
        <v>345</v>
      </c>
      <c r="F42" s="14"/>
      <c r="G42" s="12" t="s">
        <v>164</v>
      </c>
      <c r="H42" s="10" t="s">
        <v>345</v>
      </c>
      <c r="I42" s="14"/>
      <c r="J42" s="12" t="s">
        <v>165</v>
      </c>
      <c r="K42" s="10" t="s">
        <v>345</v>
      </c>
      <c r="L42" s="14"/>
      <c r="M42" s="12" t="s">
        <v>166</v>
      </c>
      <c r="N42" s="10" t="s">
        <v>345</v>
      </c>
      <c r="O42" s="14"/>
      <c r="P42" s="12" t="s">
        <v>167</v>
      </c>
      <c r="Q42" s="10" t="s">
        <v>345</v>
      </c>
      <c r="R42" s="14"/>
      <c r="S42" s="12" t="s">
        <v>168</v>
      </c>
      <c r="T42" s="9"/>
      <c r="U42" s="9"/>
      <c r="V42" s="100" t="s">
        <v>64</v>
      </c>
      <c r="W42" s="101">
        <v>12.0</v>
      </c>
      <c r="X42" s="100"/>
      <c r="Y42" s="100" t="s">
        <v>67</v>
      </c>
      <c r="Z42" s="101">
        <v>0.0</v>
      </c>
    </row>
    <row r="43" ht="12.75" customHeight="1">
      <c r="A43" s="9"/>
      <c r="B43" s="10"/>
      <c r="C43" s="3"/>
      <c r="D43" s="9"/>
      <c r="E43" s="10"/>
      <c r="F43" s="3"/>
      <c r="G43" s="9"/>
      <c r="H43" s="10"/>
      <c r="I43" s="3"/>
      <c r="J43" s="9"/>
      <c r="K43" s="10"/>
      <c r="L43" s="3"/>
      <c r="M43" s="9"/>
      <c r="N43" s="10"/>
      <c r="O43" s="3"/>
      <c r="P43" s="9"/>
      <c r="Q43" s="10"/>
      <c r="R43" s="3"/>
      <c r="S43" s="9"/>
      <c r="T43" s="9"/>
      <c r="U43" s="9"/>
      <c r="V43" s="100" t="s">
        <v>83</v>
      </c>
      <c r="W43" s="101">
        <v>0.0</v>
      </c>
      <c r="X43" s="100"/>
      <c r="Y43" s="100" t="s">
        <v>80</v>
      </c>
      <c r="Z43" s="101">
        <v>4.0</v>
      </c>
    </row>
    <row r="44" ht="12.75" customHeight="1">
      <c r="A44" s="9" t="s">
        <v>26</v>
      </c>
      <c r="B44" s="10">
        <v>0.0</v>
      </c>
      <c r="C44" s="14" t="s">
        <v>9</v>
      </c>
      <c r="D44" s="1" t="s">
        <v>169</v>
      </c>
      <c r="E44" s="10">
        <v>16.0</v>
      </c>
      <c r="F44" s="14" t="s">
        <v>9</v>
      </c>
      <c r="G44" s="1" t="s">
        <v>170</v>
      </c>
      <c r="H44" s="10">
        <v>0.0</v>
      </c>
      <c r="I44" s="14" t="s">
        <v>9</v>
      </c>
      <c r="J44" s="1" t="s">
        <v>171</v>
      </c>
      <c r="K44" s="10">
        <v>0.0</v>
      </c>
      <c r="L44" s="14" t="s">
        <v>9</v>
      </c>
      <c r="M44" s="1" t="s">
        <v>172</v>
      </c>
      <c r="N44" s="10">
        <v>2.0</v>
      </c>
      <c r="O44" s="14" t="s">
        <v>9</v>
      </c>
      <c r="P44" s="5" t="s">
        <v>173</v>
      </c>
      <c r="Q44" s="10" t="s">
        <v>345</v>
      </c>
      <c r="R44" s="14"/>
      <c r="S44" s="9" t="s">
        <v>174</v>
      </c>
      <c r="T44" s="9"/>
      <c r="U44" s="9"/>
      <c r="V44" s="100" t="s">
        <v>103</v>
      </c>
      <c r="W44" s="101">
        <v>8.0</v>
      </c>
      <c r="X44" s="100"/>
      <c r="Y44" s="100" t="s">
        <v>100</v>
      </c>
      <c r="Z44" s="101">
        <v>7.0</v>
      </c>
    </row>
    <row r="45" ht="12.75" customHeight="1">
      <c r="A45" s="9"/>
      <c r="B45" s="10" t="s">
        <v>345</v>
      </c>
      <c r="C45" s="14"/>
      <c r="D45" s="9" t="s">
        <v>175</v>
      </c>
      <c r="E45" s="10">
        <v>0.0</v>
      </c>
      <c r="F45" s="14" t="s">
        <v>9</v>
      </c>
      <c r="G45" s="1" t="s">
        <v>176</v>
      </c>
      <c r="H45" s="10" t="s">
        <v>345</v>
      </c>
      <c r="I45" s="14"/>
      <c r="J45" s="12" t="s">
        <v>177</v>
      </c>
      <c r="K45" s="10">
        <v>3.0</v>
      </c>
      <c r="L45" s="14" t="s">
        <v>9</v>
      </c>
      <c r="M45" s="1" t="s">
        <v>178</v>
      </c>
      <c r="N45" s="10" t="s">
        <v>345</v>
      </c>
      <c r="O45" s="14"/>
      <c r="P45" s="9" t="s">
        <v>179</v>
      </c>
      <c r="Q45" s="10">
        <v>6.0</v>
      </c>
      <c r="R45" s="14" t="s">
        <v>9</v>
      </c>
      <c r="S45" s="1" t="s">
        <v>180</v>
      </c>
      <c r="T45" s="9"/>
      <c r="U45" s="9"/>
      <c r="V45" s="100" t="s">
        <v>116</v>
      </c>
      <c r="W45" s="101">
        <v>6.0</v>
      </c>
      <c r="X45" s="100"/>
      <c r="Y45" s="100" t="s">
        <v>113</v>
      </c>
      <c r="Z45" s="101">
        <v>9.0</v>
      </c>
    </row>
    <row r="46" ht="12.75" customHeight="1">
      <c r="A46" s="9"/>
      <c r="B46" s="10" t="s">
        <v>345</v>
      </c>
      <c r="C46" s="14"/>
      <c r="D46" s="12" t="s">
        <v>181</v>
      </c>
      <c r="E46" s="10" t="s">
        <v>345</v>
      </c>
      <c r="F46" s="14"/>
      <c r="G46" s="9" t="s">
        <v>182</v>
      </c>
      <c r="H46" s="10">
        <v>3.0</v>
      </c>
      <c r="I46" s="14" t="s">
        <v>9</v>
      </c>
      <c r="J46" s="5" t="s">
        <v>183</v>
      </c>
      <c r="K46" s="10" t="s">
        <v>345</v>
      </c>
      <c r="L46" s="14"/>
      <c r="M46" s="12" t="s">
        <v>184</v>
      </c>
      <c r="N46" s="10">
        <v>0.0</v>
      </c>
      <c r="O46" s="14" t="s">
        <v>9</v>
      </c>
      <c r="P46" s="4" t="s">
        <v>185</v>
      </c>
      <c r="Q46" s="10" t="s">
        <v>345</v>
      </c>
      <c r="R46" s="14"/>
      <c r="S46" s="12" t="s">
        <v>186</v>
      </c>
      <c r="T46" s="9"/>
      <c r="U46" s="9"/>
      <c r="V46" s="100" t="s">
        <v>123</v>
      </c>
      <c r="W46" s="101">
        <v>4.0</v>
      </c>
      <c r="X46" s="100"/>
      <c r="Y46" s="100" t="s">
        <v>126</v>
      </c>
      <c r="Z46" s="101">
        <v>5.0</v>
      </c>
    </row>
    <row r="47" ht="12.75" customHeight="1">
      <c r="A47" s="9"/>
      <c r="B47" s="10">
        <v>1.0</v>
      </c>
      <c r="C47" s="14" t="s">
        <v>9</v>
      </c>
      <c r="D47" s="5" t="s">
        <v>187</v>
      </c>
      <c r="E47" s="10" t="s">
        <v>345</v>
      </c>
      <c r="F47" s="14"/>
      <c r="G47" s="12" t="s">
        <v>188</v>
      </c>
      <c r="H47" s="10" t="s">
        <v>345</v>
      </c>
      <c r="I47" s="14"/>
      <c r="J47" s="12" t="s">
        <v>189</v>
      </c>
      <c r="K47" s="10" t="s">
        <v>345</v>
      </c>
      <c r="L47" s="14"/>
      <c r="M47" s="12" t="s">
        <v>190</v>
      </c>
      <c r="N47" s="10" t="s">
        <v>345</v>
      </c>
      <c r="O47" s="14"/>
      <c r="P47" s="12" t="s">
        <v>191</v>
      </c>
      <c r="Q47" s="10">
        <v>0.0</v>
      </c>
      <c r="R47" s="14" t="s">
        <v>9</v>
      </c>
      <c r="S47" s="1" t="s">
        <v>192</v>
      </c>
      <c r="T47" s="9"/>
      <c r="U47" s="9"/>
      <c r="V47" s="100"/>
      <c r="W47" s="101">
        <v>50.0</v>
      </c>
      <c r="X47" s="100"/>
      <c r="Y47" s="100"/>
      <c r="Z47" s="101">
        <v>54.0</v>
      </c>
    </row>
    <row r="48" ht="12.75" customHeight="1">
      <c r="A48" s="9"/>
      <c r="B48" s="10"/>
      <c r="C48" s="3"/>
      <c r="D48" s="9"/>
      <c r="E48" s="10"/>
      <c r="F48" s="3"/>
      <c r="G48" s="9"/>
      <c r="H48" s="10"/>
      <c r="I48" s="3"/>
      <c r="J48" s="9"/>
      <c r="K48" s="10"/>
      <c r="L48" s="3"/>
      <c r="M48" s="9"/>
      <c r="N48" s="10"/>
      <c r="O48" s="3"/>
      <c r="P48" s="9"/>
      <c r="Q48" s="10"/>
      <c r="R48" s="3"/>
      <c r="S48" s="9"/>
      <c r="T48" s="9"/>
      <c r="U48" s="9"/>
      <c r="V48" s="100"/>
      <c r="W48" s="101"/>
      <c r="X48" s="100"/>
      <c r="Y48" s="100"/>
      <c r="Z48" s="101"/>
    </row>
    <row r="49" ht="12.75" customHeight="1">
      <c r="A49" s="9" t="s">
        <v>51</v>
      </c>
      <c r="B49" s="10" t="s">
        <v>345</v>
      </c>
      <c r="C49" s="14"/>
      <c r="D49" s="9" t="s">
        <v>193</v>
      </c>
      <c r="E49" s="10">
        <v>0.0</v>
      </c>
      <c r="F49" s="14" t="s">
        <v>9</v>
      </c>
      <c r="G49" s="1" t="s">
        <v>194</v>
      </c>
      <c r="H49" s="10">
        <v>0.0</v>
      </c>
      <c r="I49" s="14" t="s">
        <v>9</v>
      </c>
      <c r="J49" s="1" t="s">
        <v>364</v>
      </c>
      <c r="K49" s="10" t="s">
        <v>345</v>
      </c>
      <c r="L49" s="14"/>
      <c r="M49" s="9" t="s">
        <v>196</v>
      </c>
      <c r="N49" s="10" t="s">
        <v>345</v>
      </c>
      <c r="O49" s="14"/>
      <c r="P49" s="9" t="s">
        <v>197</v>
      </c>
      <c r="Q49" s="10" t="s">
        <v>345</v>
      </c>
      <c r="R49" s="14"/>
      <c r="S49" s="12" t="s">
        <v>198</v>
      </c>
      <c r="T49" s="9"/>
      <c r="U49" s="9"/>
      <c r="V49" s="98" t="s">
        <v>326</v>
      </c>
      <c r="W49" s="99"/>
      <c r="X49" s="98"/>
      <c r="Y49" s="98" t="s">
        <v>328</v>
      </c>
      <c r="Z49" s="99"/>
    </row>
    <row r="50" ht="12.75" customHeight="1">
      <c r="A50" s="9"/>
      <c r="B50" s="10" t="s">
        <v>345</v>
      </c>
      <c r="C50" s="14"/>
      <c r="D50" s="9" t="s">
        <v>199</v>
      </c>
      <c r="E50" s="10">
        <v>2.0</v>
      </c>
      <c r="F50" s="14" t="s">
        <v>9</v>
      </c>
      <c r="G50" s="5" t="s">
        <v>200</v>
      </c>
      <c r="H50" s="10">
        <v>21.0</v>
      </c>
      <c r="I50" s="14" t="s">
        <v>9</v>
      </c>
      <c r="J50" s="1" t="s">
        <v>201</v>
      </c>
      <c r="K50" s="10" t="s">
        <v>345</v>
      </c>
      <c r="L50" s="14"/>
      <c r="M50" s="9" t="s">
        <v>202</v>
      </c>
      <c r="N50" s="10">
        <v>2.0</v>
      </c>
      <c r="O50" s="14" t="s">
        <v>9</v>
      </c>
      <c r="P50" s="1" t="s">
        <v>203</v>
      </c>
      <c r="Q50" s="10">
        <v>0.0</v>
      </c>
      <c r="R50" s="14" t="s">
        <v>9</v>
      </c>
      <c r="S50" s="1" t="s">
        <v>204</v>
      </c>
      <c r="T50" s="9"/>
      <c r="U50" s="9"/>
      <c r="V50" s="100" t="s">
        <v>159</v>
      </c>
      <c r="W50" s="101">
        <v>27.0</v>
      </c>
      <c r="X50" s="100"/>
      <c r="Y50" s="100" t="s">
        <v>155</v>
      </c>
      <c r="Z50" s="101">
        <v>4.0</v>
      </c>
    </row>
    <row r="51" ht="12.75" customHeight="1">
      <c r="A51" s="9"/>
      <c r="B51" s="10">
        <v>0.0</v>
      </c>
      <c r="C51" s="14" t="s">
        <v>9</v>
      </c>
      <c r="D51" s="1" t="s">
        <v>205</v>
      </c>
      <c r="E51" s="10" t="s">
        <v>345</v>
      </c>
      <c r="F51" s="14"/>
      <c r="G51" s="9" t="s">
        <v>206</v>
      </c>
      <c r="H51" s="10" t="s">
        <v>345</v>
      </c>
      <c r="I51" s="14"/>
      <c r="J51" s="18" t="s">
        <v>207</v>
      </c>
      <c r="K51" s="10">
        <v>2.0</v>
      </c>
      <c r="L51" s="14" t="s">
        <v>9</v>
      </c>
      <c r="M51" s="1" t="s">
        <v>208</v>
      </c>
      <c r="N51" s="10">
        <v>0.0</v>
      </c>
      <c r="O51" s="14" t="s">
        <v>9</v>
      </c>
      <c r="P51" s="1" t="s">
        <v>209</v>
      </c>
      <c r="Q51" s="10">
        <v>0.0</v>
      </c>
      <c r="R51" s="14" t="s">
        <v>9</v>
      </c>
      <c r="S51" s="1" t="s">
        <v>210</v>
      </c>
      <c r="T51" s="9"/>
      <c r="U51" s="9"/>
      <c r="V51" s="100" t="s">
        <v>171</v>
      </c>
      <c r="W51" s="101">
        <v>0.0</v>
      </c>
      <c r="X51" s="100"/>
      <c r="Y51" s="100" t="s">
        <v>173</v>
      </c>
      <c r="Z51" s="101">
        <v>2.0</v>
      </c>
    </row>
    <row r="52" ht="12.75" customHeight="1">
      <c r="A52" s="9"/>
      <c r="B52" s="10">
        <v>0.0</v>
      </c>
      <c r="C52" s="14" t="s">
        <v>9</v>
      </c>
      <c r="D52" s="5" t="s">
        <v>211</v>
      </c>
      <c r="E52" s="10" t="s">
        <v>345</v>
      </c>
      <c r="F52" s="14"/>
      <c r="G52" s="17" t="s">
        <v>212</v>
      </c>
      <c r="H52" s="10" t="s">
        <v>345</v>
      </c>
      <c r="I52" s="14"/>
      <c r="J52" s="12" t="s">
        <v>213</v>
      </c>
      <c r="K52" s="10">
        <v>0.0</v>
      </c>
      <c r="L52" s="14" t="s">
        <v>9</v>
      </c>
      <c r="M52" s="5" t="s">
        <v>381</v>
      </c>
      <c r="N52" s="10" t="s">
        <v>345</v>
      </c>
      <c r="O52" s="14"/>
      <c r="P52" s="12" t="s">
        <v>215</v>
      </c>
      <c r="Q52" s="10" t="s">
        <v>345</v>
      </c>
      <c r="R52" s="14"/>
      <c r="S52" s="12" t="s">
        <v>216</v>
      </c>
      <c r="T52" s="9"/>
      <c r="U52" s="9"/>
      <c r="V52" s="100" t="s">
        <v>183</v>
      </c>
      <c r="W52" s="101">
        <v>3.0</v>
      </c>
      <c r="X52" s="100"/>
      <c r="Y52" s="18" t="s">
        <v>185</v>
      </c>
      <c r="Z52" s="101">
        <v>0.0</v>
      </c>
    </row>
    <row r="53" ht="12.75" customHeight="1">
      <c r="A53" s="9"/>
      <c r="B53" s="10"/>
      <c r="C53" s="3"/>
      <c r="D53" s="9"/>
      <c r="E53" s="10"/>
      <c r="F53" s="3"/>
      <c r="G53" s="9"/>
      <c r="H53" s="10"/>
      <c r="I53" s="3"/>
      <c r="J53" s="9"/>
      <c r="K53" s="10"/>
      <c r="L53" s="3"/>
      <c r="M53" s="9"/>
      <c r="N53" s="10"/>
      <c r="O53" s="3"/>
      <c r="P53" s="9"/>
      <c r="Q53" s="10"/>
      <c r="R53" s="3"/>
      <c r="S53" s="9"/>
      <c r="T53" s="9"/>
      <c r="U53" s="9"/>
      <c r="V53" s="100" t="s">
        <v>364</v>
      </c>
      <c r="W53" s="101">
        <v>0.0</v>
      </c>
      <c r="X53" s="100"/>
      <c r="Y53" s="100" t="s">
        <v>203</v>
      </c>
      <c r="Z53" s="101">
        <v>2.0</v>
      </c>
    </row>
    <row r="54" ht="12.75" customHeight="1">
      <c r="A54" s="9" t="s">
        <v>76</v>
      </c>
      <c r="B54" s="10">
        <v>2.0</v>
      </c>
      <c r="C54" s="14" t="s">
        <v>9</v>
      </c>
      <c r="D54" s="1" t="s">
        <v>217</v>
      </c>
      <c r="E54" s="10">
        <v>8.0</v>
      </c>
      <c r="F54" s="14" t="s">
        <v>9</v>
      </c>
      <c r="G54" s="1" t="s">
        <v>218</v>
      </c>
      <c r="H54" s="10">
        <v>23.0</v>
      </c>
      <c r="I54" s="14" t="s">
        <v>9</v>
      </c>
      <c r="J54" s="1" t="s">
        <v>219</v>
      </c>
      <c r="K54" s="10">
        <v>0.0</v>
      </c>
      <c r="L54" s="14" t="s">
        <v>9</v>
      </c>
      <c r="M54" s="5" t="s">
        <v>220</v>
      </c>
      <c r="N54" s="10">
        <v>12.0</v>
      </c>
      <c r="O54" s="14" t="s">
        <v>9</v>
      </c>
      <c r="P54" s="1" t="s">
        <v>221</v>
      </c>
      <c r="Q54" s="10" t="s">
        <v>345</v>
      </c>
      <c r="R54" s="14"/>
      <c r="S54" s="9" t="s">
        <v>222</v>
      </c>
      <c r="T54" s="9"/>
      <c r="U54" s="9"/>
      <c r="V54" s="100" t="s">
        <v>201</v>
      </c>
      <c r="W54" s="101">
        <v>21.0</v>
      </c>
      <c r="X54" s="100"/>
      <c r="Y54" s="100" t="s">
        <v>209</v>
      </c>
      <c r="Z54" s="101">
        <v>0.0</v>
      </c>
    </row>
    <row r="55" ht="12.75" customHeight="1">
      <c r="A55" s="9"/>
      <c r="B55" s="10" t="s">
        <v>345</v>
      </c>
      <c r="C55" s="14"/>
      <c r="D55" s="12" t="s">
        <v>223</v>
      </c>
      <c r="E55" s="10" t="s">
        <v>345</v>
      </c>
      <c r="F55" s="14"/>
      <c r="G55" s="9" t="s">
        <v>224</v>
      </c>
      <c r="H55" s="10" t="s">
        <v>345</v>
      </c>
      <c r="I55" s="14"/>
      <c r="J55" s="9" t="s">
        <v>225</v>
      </c>
      <c r="K55" s="10" t="s">
        <v>345</v>
      </c>
      <c r="L55" s="14"/>
      <c r="M55" s="12" t="s">
        <v>226</v>
      </c>
      <c r="N55" s="10" t="s">
        <v>345</v>
      </c>
      <c r="O55" s="14"/>
      <c r="P55" s="9" t="s">
        <v>227</v>
      </c>
      <c r="Q55" s="10" t="s">
        <v>345</v>
      </c>
      <c r="R55" s="14"/>
      <c r="S55" s="12" t="s">
        <v>228</v>
      </c>
      <c r="T55" s="9"/>
      <c r="U55" s="9"/>
      <c r="V55" s="100" t="s">
        <v>219</v>
      </c>
      <c r="W55" s="101">
        <v>23.0</v>
      </c>
      <c r="X55" s="100"/>
      <c r="Y55" s="100" t="s">
        <v>221</v>
      </c>
      <c r="Z55" s="101">
        <v>12.0</v>
      </c>
    </row>
    <row r="56" ht="12.75" customHeight="1">
      <c r="A56" s="9"/>
      <c r="B56" s="10" t="s">
        <v>345</v>
      </c>
      <c r="C56" s="14"/>
      <c r="D56" s="12" t="s">
        <v>229</v>
      </c>
      <c r="E56" s="10" t="s">
        <v>345</v>
      </c>
      <c r="F56" s="14"/>
      <c r="G56" s="9" t="s">
        <v>230</v>
      </c>
      <c r="H56" s="10" t="s">
        <v>345</v>
      </c>
      <c r="I56" s="14"/>
      <c r="J56" s="12" t="s">
        <v>231</v>
      </c>
      <c r="K56" s="10" t="s">
        <v>345</v>
      </c>
      <c r="L56" s="14"/>
      <c r="M56" s="12" t="s">
        <v>232</v>
      </c>
      <c r="N56" s="10" t="s">
        <v>345</v>
      </c>
      <c r="O56" s="14"/>
      <c r="P56" s="9" t="s">
        <v>233</v>
      </c>
      <c r="Q56" s="10">
        <v>6.0</v>
      </c>
      <c r="R56" s="14" t="s">
        <v>9</v>
      </c>
      <c r="S56" s="5" t="s">
        <v>234</v>
      </c>
      <c r="T56" s="9"/>
      <c r="U56" s="9"/>
      <c r="V56" s="100" t="s">
        <v>237</v>
      </c>
      <c r="W56" s="101">
        <v>4.0</v>
      </c>
      <c r="X56" s="100"/>
      <c r="Y56" s="100" t="s">
        <v>245</v>
      </c>
      <c r="Z56" s="101">
        <v>1.0</v>
      </c>
    </row>
    <row r="57" ht="12.75" customHeight="1">
      <c r="A57" s="9"/>
      <c r="B57" s="10"/>
      <c r="C57" s="3"/>
      <c r="D57" s="9"/>
      <c r="E57" s="10"/>
      <c r="F57" s="3"/>
      <c r="G57" s="9"/>
      <c r="H57" s="10"/>
      <c r="I57" s="3"/>
      <c r="J57" s="9"/>
      <c r="K57" s="10"/>
      <c r="L57" s="3"/>
      <c r="M57" s="9"/>
      <c r="N57" s="10"/>
      <c r="O57" s="3"/>
      <c r="P57" s="9"/>
      <c r="Q57" s="10"/>
      <c r="R57" s="3"/>
      <c r="S57" s="9"/>
      <c r="T57" s="9"/>
      <c r="U57" s="9"/>
      <c r="V57" s="100" t="s">
        <v>255</v>
      </c>
      <c r="W57" s="101">
        <v>5.0</v>
      </c>
      <c r="X57" s="100"/>
      <c r="Y57" s="100" t="s">
        <v>251</v>
      </c>
      <c r="Z57" s="101">
        <v>5.0</v>
      </c>
    </row>
    <row r="58" ht="12.75" customHeight="1">
      <c r="A58" s="9" t="s">
        <v>96</v>
      </c>
      <c r="B58" s="10">
        <v>7.0</v>
      </c>
      <c r="C58" s="14" t="s">
        <v>9</v>
      </c>
      <c r="D58" s="1" t="s">
        <v>235</v>
      </c>
      <c r="E58" s="10" t="s">
        <v>345</v>
      </c>
      <c r="F58" s="14"/>
      <c r="G58" s="9" t="s">
        <v>236</v>
      </c>
      <c r="H58" s="10">
        <v>4.0</v>
      </c>
      <c r="I58" s="14" t="s">
        <v>9</v>
      </c>
      <c r="J58" s="1" t="s">
        <v>237</v>
      </c>
      <c r="K58" s="10">
        <v>12.0</v>
      </c>
      <c r="L58" s="14" t="s">
        <v>9</v>
      </c>
      <c r="M58" s="5" t="s">
        <v>238</v>
      </c>
      <c r="N58" s="10" t="s">
        <v>345</v>
      </c>
      <c r="O58" s="14"/>
      <c r="P58" s="12" t="s">
        <v>239</v>
      </c>
      <c r="Q58" s="10">
        <v>5.0</v>
      </c>
      <c r="R58" s="14" t="s">
        <v>9</v>
      </c>
      <c r="S58" s="1" t="s">
        <v>240</v>
      </c>
      <c r="T58" s="9"/>
      <c r="U58" s="9"/>
      <c r="V58" s="100" t="s">
        <v>267</v>
      </c>
      <c r="W58" s="101">
        <v>5.0</v>
      </c>
      <c r="X58" s="100"/>
      <c r="Y58" s="100" t="s">
        <v>263</v>
      </c>
      <c r="Z58" s="101">
        <v>0.0</v>
      </c>
    </row>
    <row r="59" ht="12.75" customHeight="1">
      <c r="A59" s="9"/>
      <c r="B59" s="10" t="s">
        <v>345</v>
      </c>
      <c r="C59" s="14"/>
      <c r="D59" s="12" t="s">
        <v>241</v>
      </c>
      <c r="E59" s="10">
        <v>2.0</v>
      </c>
      <c r="F59" s="14" t="s">
        <v>9</v>
      </c>
      <c r="G59" s="1" t="s">
        <v>242</v>
      </c>
      <c r="H59" s="10" t="s">
        <v>345</v>
      </c>
      <c r="I59" s="14"/>
      <c r="J59" s="9" t="s">
        <v>243</v>
      </c>
      <c r="K59" s="10" t="s">
        <v>345</v>
      </c>
      <c r="L59" s="14"/>
      <c r="M59" s="12" t="s">
        <v>244</v>
      </c>
      <c r="N59" s="10">
        <v>1.0</v>
      </c>
      <c r="O59" s="14" t="s">
        <v>9</v>
      </c>
      <c r="P59" s="5" t="s">
        <v>245</v>
      </c>
      <c r="Q59" s="10" t="s">
        <v>345</v>
      </c>
      <c r="R59" s="14"/>
      <c r="S59" s="12" t="s">
        <v>246</v>
      </c>
      <c r="T59" s="9"/>
      <c r="U59" s="9"/>
      <c r="V59" s="100"/>
      <c r="W59" s="101">
        <v>88.0</v>
      </c>
      <c r="X59" s="100"/>
      <c r="Y59" s="100"/>
      <c r="Z59" s="101">
        <v>26.0</v>
      </c>
    </row>
    <row r="60" ht="12.75" customHeight="1">
      <c r="A60" s="9"/>
      <c r="B60" s="10"/>
      <c r="C60" s="3"/>
      <c r="D60" s="9"/>
      <c r="E60" s="10"/>
      <c r="F60" s="3"/>
      <c r="G60" s="9"/>
      <c r="H60" s="10"/>
      <c r="I60" s="3"/>
      <c r="J60" s="9"/>
      <c r="K60" s="10"/>
      <c r="L60" s="3"/>
      <c r="M60" s="9"/>
      <c r="N60" s="10"/>
      <c r="O60" s="3"/>
      <c r="P60" s="9"/>
      <c r="Q60" s="10"/>
      <c r="R60" s="3"/>
      <c r="S60" s="9"/>
      <c r="T60" s="9"/>
      <c r="U60" s="9"/>
      <c r="V60" s="100"/>
      <c r="W60" s="101"/>
      <c r="X60" s="100"/>
      <c r="Y60" s="100"/>
      <c r="Z60" s="101"/>
    </row>
    <row r="61" ht="12.75" customHeight="1">
      <c r="A61" s="9" t="s">
        <v>109</v>
      </c>
      <c r="B61" s="10">
        <v>0.0</v>
      </c>
      <c r="C61" s="14" t="s">
        <v>9</v>
      </c>
      <c r="D61" s="1" t="s">
        <v>247</v>
      </c>
      <c r="E61" s="10">
        <v>5.0</v>
      </c>
      <c r="F61" s="14" t="s">
        <v>9</v>
      </c>
      <c r="G61" s="5" t="s">
        <v>248</v>
      </c>
      <c r="H61" s="10" t="s">
        <v>345</v>
      </c>
      <c r="I61" s="14"/>
      <c r="J61" s="12" t="s">
        <v>249</v>
      </c>
      <c r="K61" s="10" t="s">
        <v>345</v>
      </c>
      <c r="L61" s="14"/>
      <c r="M61" s="12" t="s">
        <v>250</v>
      </c>
      <c r="N61" s="10">
        <v>5.0</v>
      </c>
      <c r="O61" s="14" t="s">
        <v>9</v>
      </c>
      <c r="P61" s="1" t="s">
        <v>251</v>
      </c>
      <c r="Q61" s="10">
        <v>7.0</v>
      </c>
      <c r="R61" s="14" t="s">
        <v>9</v>
      </c>
      <c r="S61" s="5" t="s">
        <v>252</v>
      </c>
      <c r="T61" s="9"/>
      <c r="U61" s="9"/>
      <c r="V61" s="98" t="s">
        <v>324</v>
      </c>
      <c r="W61" s="99"/>
      <c r="X61" s="98"/>
      <c r="Y61" s="98" t="s">
        <v>323</v>
      </c>
      <c r="Z61" s="99"/>
    </row>
    <row r="62" ht="12.75" customHeight="1">
      <c r="A62" s="9"/>
      <c r="B62" s="10" t="s">
        <v>345</v>
      </c>
      <c r="C62" s="14"/>
      <c r="D62" s="9" t="s">
        <v>253</v>
      </c>
      <c r="E62" s="10" t="s">
        <v>345</v>
      </c>
      <c r="F62" s="14"/>
      <c r="G62" s="12" t="s">
        <v>254</v>
      </c>
      <c r="H62" s="10">
        <v>5.0</v>
      </c>
      <c r="I62" s="14" t="s">
        <v>9</v>
      </c>
      <c r="J62" s="5" t="s">
        <v>255</v>
      </c>
      <c r="K62" s="10">
        <v>4.0</v>
      </c>
      <c r="L62" s="14" t="s">
        <v>9</v>
      </c>
      <c r="M62" s="1" t="s">
        <v>256</v>
      </c>
      <c r="N62" s="10" t="s">
        <v>345</v>
      </c>
      <c r="O62" s="14"/>
      <c r="P62" s="12" t="s">
        <v>257</v>
      </c>
      <c r="Q62" s="10" t="s">
        <v>345</v>
      </c>
      <c r="R62" s="14"/>
      <c r="S62" s="12" t="s">
        <v>258</v>
      </c>
      <c r="T62" s="9"/>
      <c r="U62" s="9"/>
      <c r="V62" s="100" t="s">
        <v>151</v>
      </c>
      <c r="W62" s="101">
        <v>18.0</v>
      </c>
      <c r="X62" s="100"/>
      <c r="Y62" s="100" t="s">
        <v>19</v>
      </c>
      <c r="Z62" s="101">
        <v>5.0</v>
      </c>
    </row>
    <row r="63" ht="12.75" customHeight="1">
      <c r="A63" s="9"/>
      <c r="B63" s="10"/>
      <c r="C63" s="3"/>
      <c r="D63" s="9"/>
      <c r="E63" s="10"/>
      <c r="F63" s="3"/>
      <c r="G63" s="9"/>
      <c r="H63" s="10"/>
      <c r="I63" s="3"/>
      <c r="J63" s="9"/>
      <c r="K63" s="10"/>
      <c r="L63" s="3"/>
      <c r="M63" s="9"/>
      <c r="N63" s="10"/>
      <c r="O63" s="3"/>
      <c r="P63" s="9"/>
      <c r="Q63" s="10"/>
      <c r="R63" s="3"/>
      <c r="S63" s="9"/>
      <c r="T63" s="9"/>
      <c r="U63" s="9"/>
      <c r="V63" s="100" t="s">
        <v>169</v>
      </c>
      <c r="W63" s="101">
        <v>0.0</v>
      </c>
      <c r="X63" s="100"/>
      <c r="Y63" s="100" t="s">
        <v>32</v>
      </c>
      <c r="Z63" s="101">
        <v>0.0</v>
      </c>
    </row>
    <row r="64" ht="12.75" customHeight="1">
      <c r="A64" s="9" t="s">
        <v>122</v>
      </c>
      <c r="B64" s="10">
        <v>0.0</v>
      </c>
      <c r="C64" s="14" t="s">
        <v>9</v>
      </c>
      <c r="D64" s="5" t="s">
        <v>259</v>
      </c>
      <c r="E64" s="10" t="s">
        <v>345</v>
      </c>
      <c r="F64" s="14"/>
      <c r="G64" s="9" t="s">
        <v>260</v>
      </c>
      <c r="H64" s="10" t="s">
        <v>345</v>
      </c>
      <c r="I64" s="14"/>
      <c r="J64" s="9" t="s">
        <v>261</v>
      </c>
      <c r="K64" s="10" t="s">
        <v>345</v>
      </c>
      <c r="L64" s="14"/>
      <c r="M64" s="12" t="s">
        <v>262</v>
      </c>
      <c r="N64" s="10">
        <v>0.0</v>
      </c>
      <c r="O64" s="14" t="s">
        <v>9</v>
      </c>
      <c r="P64" s="5" t="s">
        <v>263</v>
      </c>
      <c r="Q64" s="10" t="s">
        <v>345</v>
      </c>
      <c r="R64" s="14"/>
      <c r="S64" s="9" t="s">
        <v>264</v>
      </c>
      <c r="T64" s="9"/>
      <c r="U64" s="9"/>
      <c r="V64" s="100" t="s">
        <v>187</v>
      </c>
      <c r="W64" s="101">
        <v>1.0</v>
      </c>
      <c r="X64" s="100"/>
      <c r="Y64" s="100" t="s">
        <v>50</v>
      </c>
      <c r="Z64" s="101">
        <v>12.0</v>
      </c>
    </row>
    <row r="65" ht="12.75" customHeight="1">
      <c r="A65" s="9"/>
      <c r="B65" s="10" t="s">
        <v>345</v>
      </c>
      <c r="C65" s="14"/>
      <c r="D65" s="9" t="s">
        <v>265</v>
      </c>
      <c r="E65" s="10">
        <v>5.0</v>
      </c>
      <c r="F65" s="14" t="s">
        <v>9</v>
      </c>
      <c r="G65" s="5" t="s">
        <v>266</v>
      </c>
      <c r="H65" s="10">
        <v>5.0</v>
      </c>
      <c r="I65" s="14" t="s">
        <v>9</v>
      </c>
      <c r="J65" s="1" t="s">
        <v>267</v>
      </c>
      <c r="K65" s="10">
        <v>0.0</v>
      </c>
      <c r="L65" s="14" t="s">
        <v>9</v>
      </c>
      <c r="M65" s="1" t="s">
        <v>268</v>
      </c>
      <c r="N65" s="10" t="s">
        <v>345</v>
      </c>
      <c r="O65" s="14"/>
      <c r="P65" s="9" t="s">
        <v>269</v>
      </c>
      <c r="Q65" s="10">
        <v>0.0</v>
      </c>
      <c r="R65" s="14" t="s">
        <v>9</v>
      </c>
      <c r="S65" s="5" t="s">
        <v>270</v>
      </c>
      <c r="T65" s="9"/>
      <c r="U65" s="9"/>
      <c r="V65" s="100" t="s">
        <v>205</v>
      </c>
      <c r="W65" s="101">
        <v>0.0</v>
      </c>
      <c r="X65" s="100"/>
      <c r="Y65" s="100" t="s">
        <v>57</v>
      </c>
      <c r="Z65" s="101">
        <v>4.0</v>
      </c>
    </row>
    <row r="66" ht="12.75" customHeight="1">
      <c r="A66" s="9"/>
      <c r="B66" s="2"/>
      <c r="C66" s="3"/>
      <c r="D66" s="9"/>
      <c r="E66" s="10"/>
      <c r="F66" s="3"/>
      <c r="G66" s="9"/>
      <c r="H66" s="10"/>
      <c r="I66" s="3"/>
      <c r="J66" s="9"/>
      <c r="K66" s="10"/>
      <c r="L66" s="3"/>
      <c r="M66" s="9"/>
      <c r="N66" s="10"/>
      <c r="O66" s="3"/>
      <c r="P66" s="9"/>
      <c r="Q66" s="10"/>
      <c r="R66" s="3"/>
      <c r="S66" s="9"/>
      <c r="T66" s="9"/>
      <c r="U66" s="9"/>
      <c r="V66" s="100" t="s">
        <v>211</v>
      </c>
      <c r="W66" s="101">
        <v>0.0</v>
      </c>
      <c r="X66" s="100"/>
      <c r="Y66" s="100" t="s">
        <v>63</v>
      </c>
      <c r="Z66" s="101">
        <v>8.0</v>
      </c>
    </row>
    <row r="67" ht="12.75" customHeight="1">
      <c r="A67" s="19"/>
      <c r="B67" s="20"/>
      <c r="C67" s="21"/>
      <c r="D67" s="22">
        <v>28.0</v>
      </c>
      <c r="E67" s="20"/>
      <c r="F67" s="21"/>
      <c r="G67" s="22">
        <v>51.0</v>
      </c>
      <c r="H67" s="20"/>
      <c r="I67" s="21"/>
      <c r="J67" s="22">
        <v>88.0</v>
      </c>
      <c r="K67" s="20"/>
      <c r="L67" s="21"/>
      <c r="M67" s="22">
        <v>47.0</v>
      </c>
      <c r="N67" s="20"/>
      <c r="O67" s="21"/>
      <c r="P67" s="22">
        <v>26.0</v>
      </c>
      <c r="Q67" s="20"/>
      <c r="R67" s="21"/>
      <c r="S67" s="22">
        <v>39.0</v>
      </c>
      <c r="T67" s="19"/>
      <c r="U67" s="19"/>
      <c r="V67" s="100" t="s">
        <v>217</v>
      </c>
      <c r="W67" s="101">
        <v>2.0</v>
      </c>
      <c r="X67" s="100"/>
      <c r="Y67" s="100" t="s">
        <v>82</v>
      </c>
      <c r="Z67" s="101">
        <v>1.0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6"/>
      <c r="S68" s="9"/>
      <c r="T68" s="9"/>
      <c r="U68" s="9"/>
      <c r="V68" s="100" t="s">
        <v>235</v>
      </c>
      <c r="W68" s="101">
        <v>7.0</v>
      </c>
      <c r="X68" s="100"/>
      <c r="Y68" s="100" t="s">
        <v>108</v>
      </c>
      <c r="Z68" s="101">
        <v>8.0</v>
      </c>
    </row>
    <row r="69" ht="12.75" customHeight="1">
      <c r="A69" s="9" t="s">
        <v>135</v>
      </c>
      <c r="B69" s="2"/>
      <c r="C69" s="3"/>
      <c r="D69" s="9" t="s">
        <v>271</v>
      </c>
      <c r="E69" s="2"/>
      <c r="F69" s="6"/>
      <c r="G69" s="9" t="s">
        <v>272</v>
      </c>
      <c r="H69" s="2"/>
      <c r="I69" s="6"/>
      <c r="J69" s="9" t="s">
        <v>273</v>
      </c>
      <c r="K69" s="2"/>
      <c r="L69" s="6"/>
      <c r="M69" s="9" t="s">
        <v>274</v>
      </c>
      <c r="N69" s="2"/>
      <c r="O69" s="6"/>
      <c r="P69" s="9" t="s">
        <v>275</v>
      </c>
      <c r="Q69" s="2"/>
      <c r="R69" s="6"/>
      <c r="S69" s="9" t="s">
        <v>276</v>
      </c>
      <c r="T69" s="9"/>
      <c r="U69" s="9"/>
      <c r="V69" s="100" t="s">
        <v>247</v>
      </c>
      <c r="W69" s="101">
        <v>0.0</v>
      </c>
      <c r="X69" s="100"/>
      <c r="Y69" s="100" t="s">
        <v>121</v>
      </c>
      <c r="Z69" s="101">
        <v>10.0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277</v>
      </c>
      <c r="K70" s="2"/>
      <c r="L70" s="6"/>
      <c r="M70" s="9" t="s">
        <v>95</v>
      </c>
      <c r="N70" s="2"/>
      <c r="O70" s="6"/>
      <c r="P70" s="9"/>
      <c r="Q70" s="2"/>
      <c r="R70" s="6"/>
      <c r="S70" s="9"/>
      <c r="T70" s="9"/>
      <c r="U70" s="9"/>
      <c r="V70" s="100" t="s">
        <v>259</v>
      </c>
      <c r="W70" s="101">
        <v>0.0</v>
      </c>
      <c r="X70" s="100"/>
      <c r="Y70" s="100" t="s">
        <v>128</v>
      </c>
      <c r="Z70" s="101">
        <v>6.0</v>
      </c>
    </row>
    <row r="71" ht="12.75" customHeight="1">
      <c r="A71" s="9"/>
      <c r="B71" s="2"/>
      <c r="C71" s="3"/>
      <c r="D71" s="9"/>
      <c r="E71" s="2"/>
      <c r="F71" s="6"/>
      <c r="G71" s="28"/>
      <c r="H71" s="2"/>
      <c r="I71" s="6"/>
      <c r="J71" s="28"/>
      <c r="K71" s="2"/>
      <c r="L71" s="6"/>
      <c r="M71" s="28"/>
      <c r="N71" s="2"/>
      <c r="O71" s="6"/>
      <c r="P71" s="28"/>
      <c r="Q71" s="2"/>
      <c r="R71" s="6"/>
      <c r="S71" s="28"/>
      <c r="T71" s="9"/>
      <c r="U71" s="9"/>
      <c r="V71" s="100"/>
      <c r="W71" s="101">
        <v>28.0</v>
      </c>
      <c r="X71" s="100"/>
      <c r="Y71" s="100"/>
      <c r="Z71" s="101">
        <v>54.0</v>
      </c>
    </row>
    <row r="72" ht="12.75" customHeight="1">
      <c r="A72" s="9" t="s">
        <v>143</v>
      </c>
      <c r="B72" s="2"/>
      <c r="C72" s="3"/>
      <c r="D72" s="18"/>
      <c r="F72" s="29"/>
      <c r="G72" s="27"/>
      <c r="H72" s="25"/>
      <c r="J72" s="27"/>
      <c r="K72" s="26"/>
      <c r="M72" s="27"/>
      <c r="N72" s="26"/>
      <c r="P72" s="27"/>
      <c r="Q72" s="25"/>
      <c r="R72" s="30"/>
      <c r="S72" s="27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29"/>
      <c r="G73" s="27"/>
      <c r="H73" s="25"/>
      <c r="J73" s="27"/>
      <c r="K73" s="26"/>
      <c r="M73" s="27"/>
      <c r="N73" s="28"/>
      <c r="P73" s="27"/>
      <c r="Q73" s="25"/>
      <c r="R73" s="30"/>
      <c r="S73" s="25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29"/>
      <c r="G74" s="25"/>
      <c r="H74" s="25"/>
      <c r="J74" s="27"/>
      <c r="K74" s="26"/>
      <c r="M74" s="27"/>
      <c r="N74" s="26"/>
      <c r="P74" s="27"/>
      <c r="Q74" s="25"/>
      <c r="R74" s="30"/>
      <c r="S74" s="25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4.0"/>
    <col customWidth="1" min="23" max="23" width="4.0"/>
    <col customWidth="1" min="24" max="24" width="3.0"/>
    <col customWidth="1" min="25" max="25" width="20.86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8" t="s">
        <v>327</v>
      </c>
      <c r="W1" s="99"/>
      <c r="X1" s="98"/>
      <c r="Y1" s="98" t="s">
        <v>320</v>
      </c>
      <c r="Z1" s="99"/>
    </row>
    <row r="2" ht="12.75" customHeight="1">
      <c r="A2" s="9" t="s">
        <v>6</v>
      </c>
      <c r="B2" s="10">
        <v>14.0</v>
      </c>
      <c r="C2" s="14" t="s">
        <v>9</v>
      </c>
      <c r="D2" s="1" t="s">
        <v>7</v>
      </c>
      <c r="E2" s="10" t="s">
        <v>345</v>
      </c>
      <c r="F2" s="14"/>
      <c r="G2" s="12" t="s">
        <v>8</v>
      </c>
      <c r="H2" s="10">
        <v>4.0</v>
      </c>
      <c r="I2" s="14" t="s">
        <v>9</v>
      </c>
      <c r="J2" s="1" t="s">
        <v>10</v>
      </c>
      <c r="K2" s="10">
        <v>5.0</v>
      </c>
      <c r="L2" s="14" t="s">
        <v>9</v>
      </c>
      <c r="M2" s="5" t="s">
        <v>11</v>
      </c>
      <c r="N2" s="10">
        <v>14.0</v>
      </c>
      <c r="O2" s="14" t="s">
        <v>9</v>
      </c>
      <c r="P2" s="1" t="s">
        <v>12</v>
      </c>
      <c r="Q2" s="10">
        <v>21.0</v>
      </c>
      <c r="R2" s="14" t="s">
        <v>9</v>
      </c>
      <c r="S2" s="5" t="s">
        <v>13</v>
      </c>
      <c r="T2" s="9"/>
      <c r="U2" s="9"/>
      <c r="V2" s="100" t="s">
        <v>154</v>
      </c>
      <c r="W2" s="101">
        <v>8.0</v>
      </c>
      <c r="X2" s="100"/>
      <c r="Y2" s="100" t="s">
        <v>10</v>
      </c>
      <c r="Z2" s="101">
        <v>4.0</v>
      </c>
    </row>
    <row r="3" ht="12.75" customHeight="1">
      <c r="A3" s="9"/>
      <c r="B3" s="10" t="s">
        <v>345</v>
      </c>
      <c r="C3" s="14"/>
      <c r="D3" s="9" t="s">
        <v>14</v>
      </c>
      <c r="E3" s="10">
        <v>10.0</v>
      </c>
      <c r="F3" s="14" t="s">
        <v>9</v>
      </c>
      <c r="G3" s="5" t="s">
        <v>15</v>
      </c>
      <c r="H3" s="10" t="s">
        <v>345</v>
      </c>
      <c r="I3" s="14"/>
      <c r="J3" s="9" t="s">
        <v>16</v>
      </c>
      <c r="K3" s="10" t="s">
        <v>345</v>
      </c>
      <c r="L3" s="14"/>
      <c r="M3" s="9" t="s">
        <v>17</v>
      </c>
      <c r="N3" s="10" t="s">
        <v>345</v>
      </c>
      <c r="O3" s="14"/>
      <c r="P3" s="9" t="s">
        <v>18</v>
      </c>
      <c r="Q3" s="10" t="s">
        <v>345</v>
      </c>
      <c r="R3" s="14"/>
      <c r="S3" s="9" t="s">
        <v>19</v>
      </c>
      <c r="T3" s="9"/>
      <c r="U3" s="9"/>
      <c r="V3" s="100" t="s">
        <v>172</v>
      </c>
      <c r="W3" s="101">
        <v>27.0</v>
      </c>
      <c r="X3" s="100"/>
      <c r="Y3" s="100" t="s">
        <v>29</v>
      </c>
      <c r="Z3" s="101">
        <v>12.0</v>
      </c>
    </row>
    <row r="4" ht="12.75" customHeight="1">
      <c r="A4" s="9"/>
      <c r="B4" s="10" t="s">
        <v>345</v>
      </c>
      <c r="C4" s="14"/>
      <c r="D4" s="12" t="s">
        <v>20</v>
      </c>
      <c r="E4" s="10" t="s">
        <v>345</v>
      </c>
      <c r="F4" s="14"/>
      <c r="G4" s="12" t="s">
        <v>21</v>
      </c>
      <c r="H4" s="10" t="s">
        <v>345</v>
      </c>
      <c r="I4" s="14"/>
      <c r="J4" s="12" t="s">
        <v>22</v>
      </c>
      <c r="K4" s="10" t="s">
        <v>345</v>
      </c>
      <c r="L4" s="14"/>
      <c r="M4" s="12" t="s">
        <v>23</v>
      </c>
      <c r="N4" s="10" t="s">
        <v>345</v>
      </c>
      <c r="O4" s="14"/>
      <c r="P4" s="12" t="s">
        <v>24</v>
      </c>
      <c r="Q4" s="10" t="s">
        <v>345</v>
      </c>
      <c r="R4" s="14"/>
      <c r="S4" s="12" t="s">
        <v>25</v>
      </c>
      <c r="T4" s="9"/>
      <c r="U4" s="9"/>
      <c r="V4" s="100" t="s">
        <v>178</v>
      </c>
      <c r="W4" s="101">
        <v>2.0</v>
      </c>
      <c r="X4" s="100"/>
      <c r="Y4" s="100" t="s">
        <v>41</v>
      </c>
      <c r="Z4" s="101">
        <v>0.0</v>
      </c>
    </row>
    <row r="5" ht="12.75" customHeight="1">
      <c r="A5" s="9"/>
      <c r="B5" s="10"/>
      <c r="C5" s="3"/>
      <c r="D5" s="9"/>
      <c r="E5" s="10"/>
      <c r="F5" s="3"/>
      <c r="G5" s="9"/>
      <c r="H5" s="10" t="s">
        <v>345</v>
      </c>
      <c r="I5" s="3"/>
      <c r="J5" s="9"/>
      <c r="K5" s="10"/>
      <c r="L5" s="3"/>
      <c r="M5" s="9"/>
      <c r="N5" s="10"/>
      <c r="O5" s="3"/>
      <c r="P5" s="9"/>
      <c r="Q5" s="10"/>
      <c r="R5" s="3"/>
      <c r="S5" s="9"/>
      <c r="T5" s="9"/>
      <c r="U5" s="9"/>
      <c r="V5" s="100" t="s">
        <v>196</v>
      </c>
      <c r="W5" s="101">
        <v>6.0</v>
      </c>
      <c r="X5" s="100"/>
      <c r="Y5" s="100" t="s">
        <v>66</v>
      </c>
      <c r="Z5" s="101">
        <v>0.0</v>
      </c>
    </row>
    <row r="6" ht="12.75" customHeight="1">
      <c r="A6" s="9" t="s">
        <v>26</v>
      </c>
      <c r="B6" s="10">
        <v>7.0</v>
      </c>
      <c r="C6" s="14" t="s">
        <v>9</v>
      </c>
      <c r="D6" s="1" t="s">
        <v>27</v>
      </c>
      <c r="E6" s="10">
        <v>22.0</v>
      </c>
      <c r="F6" s="14" t="s">
        <v>9</v>
      </c>
      <c r="G6" s="1" t="s">
        <v>28</v>
      </c>
      <c r="H6" s="10">
        <v>12.0</v>
      </c>
      <c r="I6" s="14" t="s">
        <v>9</v>
      </c>
      <c r="J6" s="5" t="s">
        <v>29</v>
      </c>
      <c r="K6" s="10">
        <v>19.0</v>
      </c>
      <c r="L6" s="14" t="s">
        <v>9</v>
      </c>
      <c r="M6" s="5" t="s">
        <v>30</v>
      </c>
      <c r="N6" s="10" t="s">
        <v>345</v>
      </c>
      <c r="O6" s="14"/>
      <c r="P6" s="9" t="s">
        <v>31</v>
      </c>
      <c r="Q6" s="10" t="s">
        <v>345</v>
      </c>
      <c r="R6" s="14"/>
      <c r="S6" s="12" t="s">
        <v>32</v>
      </c>
      <c r="T6" s="9"/>
      <c r="U6" s="9"/>
      <c r="V6" s="100" t="s">
        <v>381</v>
      </c>
      <c r="W6" s="101">
        <v>0.0</v>
      </c>
      <c r="X6" s="100"/>
      <c r="Y6" s="100" t="s">
        <v>72</v>
      </c>
      <c r="Z6" s="101">
        <v>0.0</v>
      </c>
    </row>
    <row r="7" ht="12.75" customHeight="1">
      <c r="A7" s="9"/>
      <c r="B7" s="10" t="s">
        <v>345</v>
      </c>
      <c r="C7" s="14"/>
      <c r="D7" s="12" t="s">
        <v>33</v>
      </c>
      <c r="E7" s="10">
        <v>2.0</v>
      </c>
      <c r="F7" s="14" t="s">
        <v>9</v>
      </c>
      <c r="G7" s="5" t="s">
        <v>34</v>
      </c>
      <c r="H7" s="10" t="s">
        <v>345</v>
      </c>
      <c r="I7" s="14"/>
      <c r="J7" s="12" t="s">
        <v>35</v>
      </c>
      <c r="K7" s="10" t="s">
        <v>345</v>
      </c>
      <c r="L7" s="14"/>
      <c r="M7" s="9" t="s">
        <v>36</v>
      </c>
      <c r="N7" s="10">
        <v>2.0</v>
      </c>
      <c r="O7" s="14" t="s">
        <v>9</v>
      </c>
      <c r="P7" s="5" t="s">
        <v>37</v>
      </c>
      <c r="Q7" s="10" t="s">
        <v>345</v>
      </c>
      <c r="R7" s="14"/>
      <c r="S7" s="12" t="s">
        <v>38</v>
      </c>
      <c r="T7" s="9"/>
      <c r="U7" s="9"/>
      <c r="V7" s="100" t="s">
        <v>232</v>
      </c>
      <c r="W7" s="101">
        <v>0.0</v>
      </c>
      <c r="X7" s="100"/>
      <c r="Y7" s="100" t="s">
        <v>91</v>
      </c>
      <c r="Z7" s="101">
        <v>3.0</v>
      </c>
    </row>
    <row r="8" ht="12.75" customHeight="1">
      <c r="A8" s="9"/>
      <c r="B8" s="10" t="s">
        <v>345</v>
      </c>
      <c r="C8" s="14"/>
      <c r="D8" s="12" t="s">
        <v>39</v>
      </c>
      <c r="E8" s="10" t="s">
        <v>345</v>
      </c>
      <c r="F8" s="14"/>
      <c r="G8" s="9" t="s">
        <v>351</v>
      </c>
      <c r="H8" s="10">
        <v>0.0</v>
      </c>
      <c r="I8" s="14" t="s">
        <v>9</v>
      </c>
      <c r="J8" s="1" t="s">
        <v>41</v>
      </c>
      <c r="K8" s="10">
        <v>0.0</v>
      </c>
      <c r="L8" s="14" t="s">
        <v>9</v>
      </c>
      <c r="M8" s="5" t="s">
        <v>42</v>
      </c>
      <c r="N8" s="10">
        <v>8.0</v>
      </c>
      <c r="O8" s="14" t="s">
        <v>9</v>
      </c>
      <c r="P8" s="15" t="s">
        <v>43</v>
      </c>
      <c r="Q8" s="10">
        <v>2.0</v>
      </c>
      <c r="R8" s="14" t="s">
        <v>9</v>
      </c>
      <c r="S8" s="4" t="s">
        <v>44</v>
      </c>
      <c r="T8" s="9"/>
      <c r="U8" s="9"/>
      <c r="V8" s="100" t="s">
        <v>238</v>
      </c>
      <c r="W8" s="101">
        <v>10.0</v>
      </c>
      <c r="X8" s="100"/>
      <c r="Y8" s="100" t="s">
        <v>99</v>
      </c>
      <c r="Z8" s="101">
        <v>9.0</v>
      </c>
    </row>
    <row r="9" ht="12.75" customHeight="1">
      <c r="A9" s="9"/>
      <c r="B9" s="10">
        <v>0.0</v>
      </c>
      <c r="C9" s="14" t="s">
        <v>9</v>
      </c>
      <c r="D9" s="5" t="s">
        <v>45</v>
      </c>
      <c r="E9" s="10" t="s">
        <v>345</v>
      </c>
      <c r="F9" s="14"/>
      <c r="G9" s="12" t="s">
        <v>46</v>
      </c>
      <c r="H9" s="10" t="s">
        <v>345</v>
      </c>
      <c r="I9" s="14"/>
      <c r="J9" s="12" t="s">
        <v>47</v>
      </c>
      <c r="K9" s="10" t="s">
        <v>345</v>
      </c>
      <c r="L9" s="14"/>
      <c r="M9" s="12" t="s">
        <v>48</v>
      </c>
      <c r="N9" s="10" t="s">
        <v>345</v>
      </c>
      <c r="O9" s="14"/>
      <c r="P9" s="25" t="s">
        <v>373</v>
      </c>
      <c r="Q9" s="10">
        <v>0.0</v>
      </c>
      <c r="R9" s="14" t="s">
        <v>9</v>
      </c>
      <c r="S9" s="5" t="s">
        <v>50</v>
      </c>
      <c r="T9" s="9"/>
      <c r="U9" s="9"/>
      <c r="V9" s="100" t="s">
        <v>256</v>
      </c>
      <c r="W9" s="101">
        <v>15.0</v>
      </c>
      <c r="X9" s="100"/>
      <c r="Y9" s="100" t="s">
        <v>118</v>
      </c>
      <c r="Z9" s="101">
        <v>6.0</v>
      </c>
    </row>
    <row r="10" ht="12.75" customHeight="1">
      <c r="A10" s="9"/>
      <c r="B10" s="10"/>
      <c r="C10" s="3"/>
      <c r="D10" s="9"/>
      <c r="E10" s="10"/>
      <c r="F10" s="3"/>
      <c r="G10" s="9"/>
      <c r="H10" s="10" t="s">
        <v>345</v>
      </c>
      <c r="I10" s="3"/>
      <c r="J10" s="9"/>
      <c r="K10" s="10"/>
      <c r="L10" s="3"/>
      <c r="M10" s="9"/>
      <c r="N10" s="10"/>
      <c r="O10" s="3"/>
      <c r="P10" s="9"/>
      <c r="Q10" s="10"/>
      <c r="R10" s="3"/>
      <c r="S10" s="9"/>
      <c r="T10" s="9"/>
      <c r="U10" s="9"/>
      <c r="V10" s="100" t="s">
        <v>262</v>
      </c>
      <c r="W10" s="101">
        <v>0.0</v>
      </c>
      <c r="X10" s="100"/>
      <c r="Y10" s="100" t="s">
        <v>131</v>
      </c>
      <c r="Z10" s="101">
        <v>4.0</v>
      </c>
    </row>
    <row r="11" ht="12.75" customHeight="1">
      <c r="A11" s="9" t="s">
        <v>51</v>
      </c>
      <c r="B11" s="10" t="s">
        <v>345</v>
      </c>
      <c r="C11" s="14"/>
      <c r="D11" s="9" t="s">
        <v>52</v>
      </c>
      <c r="E11" s="10">
        <v>0.0</v>
      </c>
      <c r="F11" s="14" t="s">
        <v>9</v>
      </c>
      <c r="G11" s="1" t="s">
        <v>53</v>
      </c>
      <c r="H11" s="10" t="s">
        <v>345</v>
      </c>
      <c r="I11" s="14"/>
      <c r="J11" s="9" t="s">
        <v>54</v>
      </c>
      <c r="K11" s="10" t="s">
        <v>345</v>
      </c>
      <c r="L11" s="14"/>
      <c r="M11" s="12" t="s">
        <v>55</v>
      </c>
      <c r="N11" s="10">
        <v>6.0</v>
      </c>
      <c r="O11" s="14" t="s">
        <v>9</v>
      </c>
      <c r="P11" s="1" t="s">
        <v>56</v>
      </c>
      <c r="Q11" s="10">
        <v>8.0</v>
      </c>
      <c r="R11" s="14" t="s">
        <v>9</v>
      </c>
      <c r="S11" s="5" t="s">
        <v>57</v>
      </c>
      <c r="T11" s="9"/>
      <c r="U11" s="9"/>
      <c r="V11" s="100"/>
      <c r="W11" s="101">
        <v>68.0</v>
      </c>
      <c r="X11" s="100"/>
      <c r="Y11" s="100"/>
      <c r="Z11" s="101">
        <v>38.0</v>
      </c>
    </row>
    <row r="12" ht="12.75" customHeight="1">
      <c r="A12" s="9"/>
      <c r="B12" s="10">
        <v>6.0</v>
      </c>
      <c r="C12" s="14" t="s">
        <v>9</v>
      </c>
      <c r="D12" s="1" t="s">
        <v>58</v>
      </c>
      <c r="E12" s="10" t="s">
        <v>345</v>
      </c>
      <c r="F12" s="14"/>
      <c r="G12" s="9" t="s">
        <v>59</v>
      </c>
      <c r="H12" s="10" t="s">
        <v>345</v>
      </c>
      <c r="I12" s="14"/>
      <c r="J12" s="12" t="s">
        <v>60</v>
      </c>
      <c r="K12" s="10">
        <v>0.0</v>
      </c>
      <c r="L12" s="14" t="s">
        <v>9</v>
      </c>
      <c r="M12" s="1" t="s">
        <v>61</v>
      </c>
      <c r="N12" s="10">
        <v>8.0</v>
      </c>
      <c r="O12" s="14" t="s">
        <v>9</v>
      </c>
      <c r="P12" s="1" t="s">
        <v>62</v>
      </c>
      <c r="Q12" s="10" t="s">
        <v>345</v>
      </c>
      <c r="R12" s="14"/>
      <c r="S12" s="9" t="s">
        <v>63</v>
      </c>
      <c r="T12" s="9"/>
      <c r="U12" s="9"/>
      <c r="V12" s="100"/>
      <c r="W12" s="101"/>
      <c r="X12" s="100"/>
      <c r="Y12" s="100"/>
      <c r="Z12" s="101"/>
    </row>
    <row r="13" ht="12.75" customHeight="1">
      <c r="A13" s="9"/>
      <c r="B13" s="10">
        <v>8.0</v>
      </c>
      <c r="C13" s="14" t="s">
        <v>9</v>
      </c>
      <c r="D13" s="5" t="s">
        <v>64</v>
      </c>
      <c r="E13" s="10" t="s">
        <v>345</v>
      </c>
      <c r="F13" s="14"/>
      <c r="G13" s="12" t="s">
        <v>354</v>
      </c>
      <c r="H13" s="10">
        <v>0.0</v>
      </c>
      <c r="I13" s="14" t="s">
        <v>9</v>
      </c>
      <c r="J13" s="5" t="s">
        <v>66</v>
      </c>
      <c r="K13" s="10" t="s">
        <v>345</v>
      </c>
      <c r="L13" s="14"/>
      <c r="M13" s="9" t="s">
        <v>67</v>
      </c>
      <c r="N13" s="10" t="s">
        <v>345</v>
      </c>
      <c r="O13" s="14"/>
      <c r="P13" s="12" t="s">
        <v>68</v>
      </c>
      <c r="Q13" s="10">
        <v>0.0</v>
      </c>
      <c r="R13" s="14" t="s">
        <v>9</v>
      </c>
      <c r="S13" s="102" t="s">
        <v>69</v>
      </c>
      <c r="T13" s="9"/>
      <c r="U13" s="9"/>
      <c r="V13" s="98" t="s">
        <v>322</v>
      </c>
      <c r="W13" s="99"/>
      <c r="X13" s="98"/>
      <c r="Y13" s="98" t="s">
        <v>323</v>
      </c>
      <c r="Z13" s="99"/>
    </row>
    <row r="14" ht="12.75" customHeight="1">
      <c r="A14" s="9"/>
      <c r="B14" s="10" t="s">
        <v>345</v>
      </c>
      <c r="C14" s="14"/>
      <c r="D14" s="12" t="s">
        <v>70</v>
      </c>
      <c r="E14" s="10">
        <v>0.0</v>
      </c>
      <c r="F14" s="14" t="s">
        <v>9</v>
      </c>
      <c r="G14" s="5" t="s">
        <v>71</v>
      </c>
      <c r="H14" s="10">
        <v>0.0</v>
      </c>
      <c r="I14" s="14" t="s">
        <v>9</v>
      </c>
      <c r="J14" s="5" t="s">
        <v>72</v>
      </c>
      <c r="K14" s="10">
        <v>9.0</v>
      </c>
      <c r="L14" s="14" t="s">
        <v>9</v>
      </c>
      <c r="M14" s="5" t="s">
        <v>73</v>
      </c>
      <c r="N14" s="10" t="s">
        <v>345</v>
      </c>
      <c r="O14" s="14"/>
      <c r="P14" s="12" t="s">
        <v>74</v>
      </c>
      <c r="Q14" s="10" t="s">
        <v>345</v>
      </c>
      <c r="R14" s="14"/>
      <c r="S14" s="12" t="s">
        <v>75</v>
      </c>
      <c r="T14" s="9"/>
      <c r="U14" s="9"/>
      <c r="V14" s="100" t="s">
        <v>12</v>
      </c>
      <c r="W14" s="101">
        <v>14.0</v>
      </c>
      <c r="X14" s="100"/>
      <c r="Y14" s="100" t="s">
        <v>13</v>
      </c>
      <c r="Z14" s="101">
        <v>21.0</v>
      </c>
    </row>
    <row r="15" ht="12.75" customHeight="1">
      <c r="A15" s="9"/>
      <c r="B15" s="10"/>
      <c r="C15" s="3"/>
      <c r="D15" s="9"/>
      <c r="E15" s="10"/>
      <c r="F15" s="3"/>
      <c r="G15" s="9"/>
      <c r="H15" s="10" t="s">
        <v>345</v>
      </c>
      <c r="I15" s="3"/>
      <c r="J15" s="9"/>
      <c r="K15" s="10"/>
      <c r="L15" s="3"/>
      <c r="M15" s="9"/>
      <c r="N15" s="10"/>
      <c r="O15" s="3"/>
      <c r="P15" s="9"/>
      <c r="Q15" s="10"/>
      <c r="R15" s="3"/>
      <c r="S15" s="9"/>
      <c r="T15" s="9"/>
      <c r="U15" s="9"/>
      <c r="V15" s="100" t="s">
        <v>37</v>
      </c>
      <c r="W15" s="101">
        <v>2.0</v>
      </c>
      <c r="X15" s="100"/>
      <c r="Y15" s="18" t="s">
        <v>44</v>
      </c>
      <c r="Z15" s="101">
        <v>2.0</v>
      </c>
    </row>
    <row r="16" ht="12.75" customHeight="1">
      <c r="A16" s="9" t="s">
        <v>76</v>
      </c>
      <c r="B16" s="10">
        <v>8.0</v>
      </c>
      <c r="C16" s="14" t="s">
        <v>9</v>
      </c>
      <c r="D16" s="1" t="s">
        <v>77</v>
      </c>
      <c r="E16" s="10">
        <v>2.0</v>
      </c>
      <c r="F16" s="14" t="s">
        <v>9</v>
      </c>
      <c r="G16" s="5" t="s">
        <v>78</v>
      </c>
      <c r="H16" s="10" t="s">
        <v>345</v>
      </c>
      <c r="I16" s="14"/>
      <c r="J16" s="9" t="s">
        <v>79</v>
      </c>
      <c r="K16" s="10" t="s">
        <v>345</v>
      </c>
      <c r="L16" s="14"/>
      <c r="M16" s="9" t="s">
        <v>80</v>
      </c>
      <c r="N16" s="10" t="s">
        <v>345</v>
      </c>
      <c r="O16" s="14"/>
      <c r="P16" s="12" t="s">
        <v>81</v>
      </c>
      <c r="Q16" s="10" t="s">
        <v>345</v>
      </c>
      <c r="R16" s="14"/>
      <c r="S16" s="9" t="s">
        <v>82</v>
      </c>
      <c r="T16" s="9"/>
      <c r="U16" s="9"/>
      <c r="V16" s="100" t="s">
        <v>43</v>
      </c>
      <c r="W16" s="101">
        <v>8.0</v>
      </c>
      <c r="X16" s="100"/>
      <c r="Y16" s="100" t="s">
        <v>50</v>
      </c>
      <c r="Z16" s="101">
        <v>0.0</v>
      </c>
    </row>
    <row r="17" ht="12.75" customHeight="1">
      <c r="A17" s="9"/>
      <c r="B17" s="10" t="s">
        <v>345</v>
      </c>
      <c r="C17" s="14"/>
      <c r="D17" s="12" t="s">
        <v>83</v>
      </c>
      <c r="E17" s="10" t="s">
        <v>345</v>
      </c>
      <c r="F17" s="14"/>
      <c r="G17" s="9" t="s">
        <v>84</v>
      </c>
      <c r="H17" s="10" t="s">
        <v>345</v>
      </c>
      <c r="I17" s="14"/>
      <c r="J17" s="9" t="s">
        <v>85</v>
      </c>
      <c r="K17" s="10" t="s">
        <v>345</v>
      </c>
      <c r="L17" s="14"/>
      <c r="M17" s="12" t="s">
        <v>86</v>
      </c>
      <c r="N17" s="10">
        <v>9.0</v>
      </c>
      <c r="O17" s="14" t="s">
        <v>9</v>
      </c>
      <c r="P17" s="1" t="s">
        <v>87</v>
      </c>
      <c r="Q17" s="10">
        <v>3.0</v>
      </c>
      <c r="R17" s="14" t="s">
        <v>9</v>
      </c>
      <c r="S17" s="5" t="s">
        <v>88</v>
      </c>
      <c r="T17" s="9"/>
      <c r="U17" s="9"/>
      <c r="V17" s="100" t="s">
        <v>56</v>
      </c>
      <c r="W17" s="101">
        <v>6.0</v>
      </c>
      <c r="X17" s="100"/>
      <c r="Y17" s="100" t="s">
        <v>57</v>
      </c>
      <c r="Z17" s="101">
        <v>8.0</v>
      </c>
    </row>
    <row r="18" ht="12.75" customHeight="1">
      <c r="A18" s="9"/>
      <c r="B18" s="10" t="s">
        <v>345</v>
      </c>
      <c r="C18" s="14"/>
      <c r="D18" s="12" t="s">
        <v>89</v>
      </c>
      <c r="E18" s="10" t="s">
        <v>345</v>
      </c>
      <c r="F18" s="14"/>
      <c r="G18" s="12" t="s">
        <v>90</v>
      </c>
      <c r="H18" s="10">
        <v>3.0</v>
      </c>
      <c r="I18" s="14" t="s">
        <v>9</v>
      </c>
      <c r="J18" s="5" t="s">
        <v>91</v>
      </c>
      <c r="K18" s="10">
        <v>3.0</v>
      </c>
      <c r="L18" s="14" t="s">
        <v>9</v>
      </c>
      <c r="M18" s="1" t="s">
        <v>92</v>
      </c>
      <c r="N18" s="10" t="s">
        <v>345</v>
      </c>
      <c r="O18" s="14"/>
      <c r="P18" s="12" t="s">
        <v>93</v>
      </c>
      <c r="Q18" s="10" t="s">
        <v>345</v>
      </c>
      <c r="R18" s="14"/>
      <c r="S18" s="12" t="s">
        <v>94</v>
      </c>
      <c r="T18" s="9"/>
      <c r="U18" s="9"/>
      <c r="V18" s="100" t="s">
        <v>62</v>
      </c>
      <c r="W18" s="101">
        <v>8.0</v>
      </c>
      <c r="X18" s="100"/>
      <c r="Y18" s="100" t="s">
        <v>69</v>
      </c>
      <c r="Z18" s="101">
        <v>0.0</v>
      </c>
    </row>
    <row r="19" ht="12.75" customHeight="1">
      <c r="A19" s="9"/>
      <c r="B19" s="10"/>
      <c r="C19" s="3"/>
      <c r="D19" s="9"/>
      <c r="E19" s="10"/>
      <c r="F19" s="3"/>
      <c r="G19" s="9"/>
      <c r="H19" s="10" t="s">
        <v>345</v>
      </c>
      <c r="I19" s="3"/>
      <c r="J19" s="9" t="s">
        <v>95</v>
      </c>
      <c r="K19" s="10"/>
      <c r="L19" s="3"/>
      <c r="M19" s="9"/>
      <c r="N19" s="10"/>
      <c r="O19" s="3"/>
      <c r="P19" s="9"/>
      <c r="Q19" s="10"/>
      <c r="R19" s="3"/>
      <c r="S19" s="9"/>
      <c r="T19" s="9"/>
      <c r="U19" s="9"/>
      <c r="V19" s="100" t="s">
        <v>87</v>
      </c>
      <c r="W19" s="101">
        <v>9.0</v>
      </c>
      <c r="X19" s="100"/>
      <c r="Y19" s="100" t="s">
        <v>88</v>
      </c>
      <c r="Z19" s="101">
        <v>3.0</v>
      </c>
    </row>
    <row r="20" ht="12.75" customHeight="1">
      <c r="A20" s="9" t="s">
        <v>96</v>
      </c>
      <c r="B20" s="10" t="s">
        <v>345</v>
      </c>
      <c r="C20" s="14"/>
      <c r="D20" s="12" t="s">
        <v>97</v>
      </c>
      <c r="E20" s="10" t="s">
        <v>345</v>
      </c>
      <c r="F20" s="14"/>
      <c r="G20" s="12" t="s">
        <v>98</v>
      </c>
      <c r="H20" s="10">
        <v>9.0</v>
      </c>
      <c r="I20" s="14" t="s">
        <v>9</v>
      </c>
      <c r="J20" s="1" t="s">
        <v>99</v>
      </c>
      <c r="K20" s="10">
        <v>3.0</v>
      </c>
      <c r="L20" s="14" t="s">
        <v>9</v>
      </c>
      <c r="M20" s="5" t="s">
        <v>100</v>
      </c>
      <c r="N20" s="10">
        <v>6.0</v>
      </c>
      <c r="O20" s="14" t="s">
        <v>9</v>
      </c>
      <c r="P20" s="1" t="s">
        <v>101</v>
      </c>
      <c r="Q20" s="10" t="s">
        <v>345</v>
      </c>
      <c r="R20" s="14"/>
      <c r="S20" s="12" t="s">
        <v>102</v>
      </c>
      <c r="T20" s="9"/>
      <c r="U20" s="9"/>
      <c r="V20" s="100" t="s">
        <v>101</v>
      </c>
      <c r="W20" s="101">
        <v>6.0</v>
      </c>
      <c r="X20" s="100"/>
      <c r="Y20" s="100" t="s">
        <v>108</v>
      </c>
      <c r="Z20" s="101">
        <v>12.0</v>
      </c>
    </row>
    <row r="21" ht="12.75" customHeight="1">
      <c r="A21" s="9"/>
      <c r="B21" s="10">
        <v>7.0</v>
      </c>
      <c r="C21" s="14" t="s">
        <v>9</v>
      </c>
      <c r="D21" s="1" t="s">
        <v>103</v>
      </c>
      <c r="E21" s="10">
        <v>4.0</v>
      </c>
      <c r="F21" s="14" t="s">
        <v>9</v>
      </c>
      <c r="G21" s="5" t="s">
        <v>104</v>
      </c>
      <c r="H21" s="10" t="s">
        <v>345</v>
      </c>
      <c r="I21" s="14"/>
      <c r="J21" s="9" t="s">
        <v>105</v>
      </c>
      <c r="K21" s="10" t="s">
        <v>345</v>
      </c>
      <c r="L21" s="14"/>
      <c r="M21" s="9" t="s">
        <v>106</v>
      </c>
      <c r="N21" s="10" t="s">
        <v>345</v>
      </c>
      <c r="O21" s="14"/>
      <c r="P21" s="18" t="s">
        <v>107</v>
      </c>
      <c r="Q21" s="10">
        <v>12.0</v>
      </c>
      <c r="R21" s="14" t="s">
        <v>9</v>
      </c>
      <c r="S21" s="1" t="s">
        <v>108</v>
      </c>
      <c r="T21" s="9"/>
      <c r="U21" s="9"/>
      <c r="V21" s="100" t="s">
        <v>120</v>
      </c>
      <c r="W21" s="101">
        <v>2.0</v>
      </c>
      <c r="X21" s="100"/>
      <c r="Y21" s="100" t="s">
        <v>121</v>
      </c>
      <c r="Z21" s="101">
        <v>17.0</v>
      </c>
    </row>
    <row r="22" ht="12.75" customHeight="1">
      <c r="A22" s="9"/>
      <c r="B22" s="10"/>
      <c r="C22" s="3"/>
      <c r="D22" s="9"/>
      <c r="E22" s="10"/>
      <c r="F22" s="3"/>
      <c r="G22" s="9"/>
      <c r="H22" s="10" t="s">
        <v>345</v>
      </c>
      <c r="I22" s="3"/>
      <c r="J22" s="9"/>
      <c r="K22" s="10"/>
      <c r="L22" s="3"/>
      <c r="M22" s="9"/>
      <c r="N22" s="10"/>
      <c r="O22" s="3"/>
      <c r="P22" s="9"/>
      <c r="Q22" s="10"/>
      <c r="R22" s="3"/>
      <c r="S22" s="9"/>
      <c r="T22" s="9"/>
      <c r="U22" s="9"/>
      <c r="V22" s="100" t="s">
        <v>127</v>
      </c>
      <c r="W22" s="101">
        <v>4.0</v>
      </c>
      <c r="X22" s="100"/>
      <c r="Y22" s="100" t="s">
        <v>128</v>
      </c>
      <c r="Z22" s="101">
        <v>0.0</v>
      </c>
    </row>
    <row r="23" ht="12.75" customHeight="1">
      <c r="A23" s="9" t="s">
        <v>109</v>
      </c>
      <c r="B23" s="10" t="s">
        <v>345</v>
      </c>
      <c r="C23" s="14"/>
      <c r="D23" s="9" t="s">
        <v>110</v>
      </c>
      <c r="E23" s="10">
        <v>11.0</v>
      </c>
      <c r="F23" s="14" t="s">
        <v>9</v>
      </c>
      <c r="G23" s="5" t="s">
        <v>111</v>
      </c>
      <c r="H23" s="10" t="s">
        <v>345</v>
      </c>
      <c r="I23" s="14"/>
      <c r="J23" s="9" t="s">
        <v>112</v>
      </c>
      <c r="K23" s="10" t="s">
        <v>345</v>
      </c>
      <c r="L23" s="14"/>
      <c r="M23" s="9" t="s">
        <v>113</v>
      </c>
      <c r="N23" s="10" t="s">
        <v>345</v>
      </c>
      <c r="O23" s="14"/>
      <c r="P23" s="9" t="s">
        <v>114</v>
      </c>
      <c r="Q23" s="10" t="s">
        <v>345</v>
      </c>
      <c r="R23" s="14"/>
      <c r="S23" s="12" t="s">
        <v>115</v>
      </c>
      <c r="T23" s="9"/>
      <c r="U23" s="9"/>
      <c r="V23" s="100"/>
      <c r="W23" s="101">
        <v>59.0</v>
      </c>
      <c r="X23" s="100"/>
      <c r="Y23" s="100"/>
      <c r="Z23" s="101">
        <v>63.0</v>
      </c>
    </row>
    <row r="24" ht="12.75" customHeight="1">
      <c r="A24" s="9"/>
      <c r="B24" s="10">
        <v>16.0</v>
      </c>
      <c r="C24" s="14" t="s">
        <v>9</v>
      </c>
      <c r="D24" s="1" t="s">
        <v>116</v>
      </c>
      <c r="E24" s="10" t="s">
        <v>345</v>
      </c>
      <c r="F24" s="14"/>
      <c r="G24" s="12" t="s">
        <v>117</v>
      </c>
      <c r="H24" s="10">
        <v>6.0</v>
      </c>
      <c r="I24" s="14" t="s">
        <v>9</v>
      </c>
      <c r="J24" s="1" t="s">
        <v>118</v>
      </c>
      <c r="K24" s="10">
        <v>0.0</v>
      </c>
      <c r="L24" s="14" t="s">
        <v>9</v>
      </c>
      <c r="M24" s="5" t="s">
        <v>119</v>
      </c>
      <c r="N24" s="10">
        <v>2.0</v>
      </c>
      <c r="O24" s="14" t="s">
        <v>9</v>
      </c>
      <c r="P24" s="1" t="s">
        <v>120</v>
      </c>
      <c r="Q24" s="10">
        <v>17.0</v>
      </c>
      <c r="R24" s="14" t="s">
        <v>9</v>
      </c>
      <c r="S24" s="5" t="s">
        <v>121</v>
      </c>
      <c r="T24" s="9"/>
      <c r="U24" s="9"/>
      <c r="V24" s="100"/>
      <c r="W24" s="101"/>
      <c r="X24" s="100"/>
      <c r="Y24" s="100"/>
      <c r="Z24" s="101"/>
    </row>
    <row r="25" ht="12.75" customHeight="1">
      <c r="A25" s="9"/>
      <c r="B25" s="10"/>
      <c r="C25" s="3"/>
      <c r="D25" s="9"/>
      <c r="E25" s="10"/>
      <c r="F25" s="3"/>
      <c r="G25" s="9"/>
      <c r="H25" s="10" t="s">
        <v>345</v>
      </c>
      <c r="I25" s="3"/>
      <c r="J25" s="9"/>
      <c r="K25" s="10"/>
      <c r="L25" s="3"/>
      <c r="M25" s="9"/>
      <c r="N25" s="10"/>
      <c r="O25" s="3"/>
      <c r="P25" s="9"/>
      <c r="Q25" s="10"/>
      <c r="R25" s="3"/>
      <c r="S25" s="9"/>
      <c r="T25" s="9"/>
      <c r="U25" s="9"/>
      <c r="V25" s="98" t="s">
        <v>319</v>
      </c>
      <c r="W25" s="99"/>
      <c r="X25" s="98"/>
      <c r="Y25" s="98" t="s">
        <v>321</v>
      </c>
      <c r="Z25" s="99"/>
    </row>
    <row r="26" ht="12.75" customHeight="1">
      <c r="A26" s="9" t="s">
        <v>122</v>
      </c>
      <c r="B26" s="10">
        <v>5.0</v>
      </c>
      <c r="C26" s="14" t="s">
        <v>9</v>
      </c>
      <c r="D26" s="5" t="s">
        <v>123</v>
      </c>
      <c r="E26" s="10">
        <v>5.0</v>
      </c>
      <c r="F26" s="14" t="s">
        <v>9</v>
      </c>
      <c r="G26" s="5" t="s">
        <v>124</v>
      </c>
      <c r="H26" s="10" t="s">
        <v>345</v>
      </c>
      <c r="I26" s="14"/>
      <c r="J26" s="9" t="s">
        <v>125</v>
      </c>
      <c r="K26" s="10">
        <v>0.0</v>
      </c>
      <c r="L26" s="14" t="s">
        <v>9</v>
      </c>
      <c r="M26" s="1" t="s">
        <v>126</v>
      </c>
      <c r="N26" s="10">
        <v>4.0</v>
      </c>
      <c r="O26" s="14" t="s">
        <v>9</v>
      </c>
      <c r="P26" s="1" t="s">
        <v>127</v>
      </c>
      <c r="Q26" s="10">
        <v>0.0</v>
      </c>
      <c r="R26" s="14" t="s">
        <v>9</v>
      </c>
      <c r="S26" s="5" t="s">
        <v>128</v>
      </c>
      <c r="T26" s="9"/>
      <c r="U26" s="9"/>
      <c r="V26" s="100" t="s">
        <v>15</v>
      </c>
      <c r="W26" s="101">
        <v>10.0</v>
      </c>
      <c r="X26" s="100"/>
      <c r="Y26" s="100" t="s">
        <v>11</v>
      </c>
      <c r="Z26" s="101">
        <v>5.0</v>
      </c>
    </row>
    <row r="27" ht="12.75" customHeight="1">
      <c r="A27" s="9"/>
      <c r="B27" s="10" t="s">
        <v>345</v>
      </c>
      <c r="C27" s="14"/>
      <c r="D27" s="9" t="s">
        <v>129</v>
      </c>
      <c r="E27" s="10" t="s">
        <v>345</v>
      </c>
      <c r="F27" s="14"/>
      <c r="G27" s="9" t="s">
        <v>130</v>
      </c>
      <c r="H27" s="10">
        <v>4.0</v>
      </c>
      <c r="I27" s="14" t="s">
        <v>9</v>
      </c>
      <c r="J27" s="5" t="s">
        <v>131</v>
      </c>
      <c r="K27" s="10" t="s">
        <v>345</v>
      </c>
      <c r="L27" s="14"/>
      <c r="M27" s="9" t="s">
        <v>132</v>
      </c>
      <c r="N27" s="10" t="s">
        <v>345</v>
      </c>
      <c r="O27" s="14"/>
      <c r="P27" s="12" t="s">
        <v>133</v>
      </c>
      <c r="Q27" s="10" t="s">
        <v>345</v>
      </c>
      <c r="R27" s="14"/>
      <c r="S27" s="9" t="s">
        <v>134</v>
      </c>
      <c r="T27" s="9"/>
      <c r="U27" s="9"/>
      <c r="V27" s="100" t="s">
        <v>28</v>
      </c>
      <c r="W27" s="101">
        <v>22.0</v>
      </c>
      <c r="X27" s="100"/>
      <c r="Y27" s="100" t="s">
        <v>30</v>
      </c>
      <c r="Z27" s="101">
        <v>19.0</v>
      </c>
    </row>
    <row r="28" ht="12.75" customHeight="1">
      <c r="A28" s="9"/>
      <c r="B28" s="2"/>
      <c r="C28" s="3"/>
      <c r="D28" s="9"/>
      <c r="E28" s="10"/>
      <c r="F28" s="3"/>
      <c r="G28" s="9"/>
      <c r="H28" s="10"/>
      <c r="I28" s="3"/>
      <c r="J28" s="9"/>
      <c r="K28" s="10"/>
      <c r="L28" s="3"/>
      <c r="M28" s="9"/>
      <c r="N28" s="10"/>
      <c r="O28" s="3"/>
      <c r="P28" s="12" t="s">
        <v>95</v>
      </c>
      <c r="Q28" s="10"/>
      <c r="R28" s="3"/>
      <c r="S28" s="9"/>
      <c r="T28" s="9"/>
      <c r="U28" s="9"/>
      <c r="V28" s="100" t="s">
        <v>34</v>
      </c>
      <c r="W28" s="101">
        <v>2.0</v>
      </c>
      <c r="X28" s="100"/>
      <c r="Y28" s="100" t="s">
        <v>42</v>
      </c>
      <c r="Z28" s="101">
        <v>0.0</v>
      </c>
    </row>
    <row r="29" ht="12.75" customHeight="1">
      <c r="A29" s="19"/>
      <c r="B29" s="20"/>
      <c r="C29" s="21"/>
      <c r="D29" s="22">
        <v>71.0</v>
      </c>
      <c r="E29" s="20"/>
      <c r="F29" s="21"/>
      <c r="G29" s="22">
        <v>56.0</v>
      </c>
      <c r="H29" s="20"/>
      <c r="I29" s="21"/>
      <c r="J29" s="22">
        <v>38.0</v>
      </c>
      <c r="K29" s="20"/>
      <c r="L29" s="21"/>
      <c r="M29" s="22">
        <v>39.0</v>
      </c>
      <c r="N29" s="20"/>
      <c r="O29" s="21"/>
      <c r="P29" s="22">
        <v>59.0</v>
      </c>
      <c r="Q29" s="20"/>
      <c r="R29" s="21"/>
      <c r="S29" s="22">
        <v>63.0</v>
      </c>
      <c r="T29" s="19"/>
      <c r="U29" s="19"/>
      <c r="V29" s="100" t="s">
        <v>53</v>
      </c>
      <c r="W29" s="101">
        <v>0.0</v>
      </c>
      <c r="X29" s="100"/>
      <c r="Y29" s="100" t="s">
        <v>61</v>
      </c>
      <c r="Z29" s="101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6"/>
      <c r="S30" s="9"/>
      <c r="T30" s="9"/>
      <c r="U30" s="9"/>
      <c r="V30" s="100" t="s">
        <v>71</v>
      </c>
      <c r="W30" s="101">
        <v>0.0</v>
      </c>
      <c r="X30" s="100"/>
      <c r="Y30" s="100" t="s">
        <v>73</v>
      </c>
      <c r="Z30" s="101">
        <v>9.0</v>
      </c>
    </row>
    <row r="31" ht="12.75" customHeight="1">
      <c r="A31" s="9" t="s">
        <v>135</v>
      </c>
      <c r="B31" s="2"/>
      <c r="C31" s="3"/>
      <c r="D31" s="9" t="s">
        <v>136</v>
      </c>
      <c r="E31" s="2"/>
      <c r="F31" s="6"/>
      <c r="G31" s="9" t="s">
        <v>137</v>
      </c>
      <c r="H31" s="2"/>
      <c r="I31" s="6"/>
      <c r="J31" s="9" t="s">
        <v>138</v>
      </c>
      <c r="K31" s="2"/>
      <c r="L31" s="6"/>
      <c r="M31" s="9" t="s">
        <v>139</v>
      </c>
      <c r="N31" s="2"/>
      <c r="O31" s="6"/>
      <c r="P31" s="9" t="s">
        <v>140</v>
      </c>
      <c r="Q31" s="2"/>
      <c r="R31" s="6"/>
      <c r="S31" s="9" t="s">
        <v>141</v>
      </c>
      <c r="T31" s="9"/>
      <c r="U31" s="9"/>
      <c r="V31" s="100" t="s">
        <v>78</v>
      </c>
      <c r="W31" s="101">
        <v>2.0</v>
      </c>
      <c r="X31" s="100"/>
      <c r="Y31" s="100" t="s">
        <v>92</v>
      </c>
      <c r="Z31" s="101">
        <v>3.0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142</v>
      </c>
      <c r="Q32" s="2"/>
      <c r="R32" s="6"/>
      <c r="S32" s="9"/>
      <c r="T32" s="9"/>
      <c r="U32" s="9"/>
      <c r="V32" s="100" t="s">
        <v>104</v>
      </c>
      <c r="W32" s="101">
        <v>4.0</v>
      </c>
      <c r="X32" s="100"/>
      <c r="Y32" s="100" t="s">
        <v>100</v>
      </c>
      <c r="Z32" s="101">
        <v>3.0</v>
      </c>
    </row>
    <row r="33" ht="12.75" customHeight="1">
      <c r="A33" s="9"/>
      <c r="B33" s="2"/>
      <c r="C33" s="3"/>
      <c r="D33" s="25"/>
      <c r="E33" s="26"/>
      <c r="F33" s="26"/>
      <c r="G33" s="25"/>
      <c r="H33" s="26"/>
      <c r="I33" s="26"/>
      <c r="J33" s="25"/>
      <c r="K33" s="25"/>
      <c r="L33" s="26"/>
      <c r="M33" s="25"/>
      <c r="P33" s="25"/>
      <c r="R33" s="3"/>
      <c r="S33" s="25"/>
      <c r="T33" s="6"/>
      <c r="U33" s="26"/>
      <c r="V33" s="103" t="s">
        <v>111</v>
      </c>
      <c r="W33" s="101">
        <v>11.0</v>
      </c>
      <c r="X33" s="100"/>
      <c r="Y33" s="100" t="s">
        <v>119</v>
      </c>
      <c r="Z33" s="101">
        <v>0.0</v>
      </c>
    </row>
    <row r="34" ht="12.75" customHeight="1">
      <c r="A34" s="9" t="s">
        <v>143</v>
      </c>
      <c r="B34" s="9"/>
      <c r="C34" s="3"/>
      <c r="D34" s="25"/>
      <c r="E34" s="26"/>
      <c r="F34" s="26"/>
      <c r="G34" s="25"/>
      <c r="H34" s="26"/>
      <c r="I34" s="26"/>
      <c r="J34" s="25"/>
      <c r="K34" s="25"/>
      <c r="L34" s="26"/>
      <c r="M34" s="25"/>
      <c r="P34" s="25"/>
      <c r="R34" s="3"/>
      <c r="S34" s="25"/>
      <c r="T34" s="6"/>
      <c r="U34" s="26"/>
      <c r="V34" s="103" t="s">
        <v>124</v>
      </c>
      <c r="W34" s="101">
        <v>5.0</v>
      </c>
      <c r="X34" s="100"/>
      <c r="Y34" s="100" t="s">
        <v>126</v>
      </c>
      <c r="Z34" s="101">
        <v>0.0</v>
      </c>
    </row>
    <row r="35" ht="12.75" customHeight="1">
      <c r="A35" s="9"/>
      <c r="B35" s="9"/>
      <c r="C35" s="3"/>
      <c r="D35" s="12"/>
      <c r="E35" s="26"/>
      <c r="F35" s="26"/>
      <c r="G35" s="12"/>
      <c r="H35" s="26"/>
      <c r="I35" s="26"/>
      <c r="J35" s="25"/>
      <c r="K35" s="25"/>
      <c r="L35" s="26"/>
      <c r="M35" s="25"/>
      <c r="P35" s="25"/>
      <c r="R35" s="3"/>
      <c r="S35" s="25"/>
      <c r="T35" s="6"/>
      <c r="U35" s="9"/>
      <c r="V35" s="103"/>
      <c r="W35" s="101">
        <v>56.0</v>
      </c>
      <c r="X35" s="100"/>
      <c r="Y35" s="100"/>
      <c r="Z35" s="101">
        <v>39.0</v>
      </c>
    </row>
    <row r="36" ht="12.75" customHeight="1">
      <c r="A36" s="9"/>
      <c r="B36" s="2"/>
      <c r="C36" s="3"/>
      <c r="D36" s="12"/>
      <c r="E36" s="2"/>
      <c r="F36" s="6"/>
      <c r="G36" s="12"/>
      <c r="H36" s="2"/>
      <c r="I36" s="6"/>
      <c r="J36" s="25"/>
      <c r="K36" s="9"/>
      <c r="L36" s="6"/>
      <c r="M36" s="25"/>
      <c r="N36" s="26"/>
      <c r="O36" s="26"/>
      <c r="P36" s="25"/>
      <c r="Q36" s="26"/>
      <c r="R36" s="3"/>
      <c r="S36" s="25"/>
      <c r="T36" s="6"/>
      <c r="U36" s="6"/>
      <c r="V36" s="100"/>
      <c r="W36" s="101"/>
      <c r="X36" s="100"/>
      <c r="Y36" s="100"/>
      <c r="Z36" s="101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6"/>
      <c r="S37" s="9"/>
      <c r="T37" s="9"/>
      <c r="U37" s="9"/>
      <c r="V37" s="98" t="s">
        <v>302</v>
      </c>
      <c r="W37" s="99"/>
      <c r="X37" s="98"/>
      <c r="Y37" s="98" t="s">
        <v>326</v>
      </c>
      <c r="Z37" s="99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6"/>
      <c r="S38" s="9"/>
      <c r="T38" s="9"/>
      <c r="U38" s="9"/>
      <c r="V38" s="100" t="s">
        <v>7</v>
      </c>
      <c r="W38" s="101">
        <v>14.0</v>
      </c>
      <c r="X38" s="100"/>
      <c r="Y38" s="100" t="s">
        <v>159</v>
      </c>
      <c r="Z38" s="101">
        <v>3.0</v>
      </c>
    </row>
    <row r="39" ht="12.75" customHeight="1">
      <c r="A39" s="1" t="s">
        <v>144</v>
      </c>
      <c r="B39" s="2"/>
      <c r="C39" s="3"/>
      <c r="D39" s="5" t="s">
        <v>145</v>
      </c>
      <c r="E39" s="2"/>
      <c r="F39" s="1"/>
      <c r="G39" s="5" t="s">
        <v>146</v>
      </c>
      <c r="H39" s="2"/>
      <c r="I39" s="1"/>
      <c r="J39" s="5" t="s">
        <v>147</v>
      </c>
      <c r="K39" s="2"/>
      <c r="L39" s="1"/>
      <c r="M39" s="5" t="s">
        <v>148</v>
      </c>
      <c r="N39" s="2"/>
      <c r="O39" s="1"/>
      <c r="P39" s="5" t="s">
        <v>149</v>
      </c>
      <c r="Q39" s="2"/>
      <c r="R39" s="6"/>
      <c r="S39" s="5" t="s">
        <v>150</v>
      </c>
      <c r="T39" s="1"/>
      <c r="U39" s="1"/>
      <c r="V39" s="100" t="s">
        <v>27</v>
      </c>
      <c r="W39" s="101">
        <v>7.0</v>
      </c>
      <c r="X39" s="100"/>
      <c r="Y39" s="100" t="s">
        <v>171</v>
      </c>
      <c r="Z39" s="101">
        <v>2.0</v>
      </c>
    </row>
    <row r="40" ht="12.75" customHeight="1">
      <c r="A40" s="9" t="s">
        <v>6</v>
      </c>
      <c r="B40" s="10">
        <v>8.0</v>
      </c>
      <c r="C40" s="14" t="s">
        <v>9</v>
      </c>
      <c r="D40" s="1" t="s">
        <v>151</v>
      </c>
      <c r="E40" s="10" t="s">
        <v>345</v>
      </c>
      <c r="F40" s="14"/>
      <c r="G40" s="9" t="s">
        <v>152</v>
      </c>
      <c r="H40" s="10" t="s">
        <v>345</v>
      </c>
      <c r="I40" s="14"/>
      <c r="J40" s="9" t="s">
        <v>153</v>
      </c>
      <c r="K40" s="10">
        <v>8.0</v>
      </c>
      <c r="L40" s="14" t="s">
        <v>9</v>
      </c>
      <c r="M40" s="1" t="s">
        <v>154</v>
      </c>
      <c r="N40" s="10" t="s">
        <v>345</v>
      </c>
      <c r="O40" s="14"/>
      <c r="P40" s="9" t="s">
        <v>155</v>
      </c>
      <c r="Q40" s="10" t="s">
        <v>345</v>
      </c>
      <c r="R40" s="14"/>
      <c r="S40" s="9" t="s">
        <v>156</v>
      </c>
      <c r="T40" s="9"/>
      <c r="U40" s="9"/>
      <c r="V40" s="100" t="s">
        <v>45</v>
      </c>
      <c r="W40" s="101">
        <v>0.0</v>
      </c>
      <c r="X40" s="100"/>
      <c r="Y40" s="100" t="s">
        <v>183</v>
      </c>
      <c r="Z40" s="101">
        <v>0.0</v>
      </c>
    </row>
    <row r="41" ht="12.75" customHeight="1">
      <c r="A41" s="9"/>
      <c r="B41" s="10" t="s">
        <v>345</v>
      </c>
      <c r="C41" s="14"/>
      <c r="D41" s="9" t="s">
        <v>157</v>
      </c>
      <c r="E41" s="10">
        <v>6.0</v>
      </c>
      <c r="F41" s="14" t="s">
        <v>9</v>
      </c>
      <c r="G41" s="1" t="s">
        <v>158</v>
      </c>
      <c r="H41" s="10">
        <v>3.0</v>
      </c>
      <c r="I41" s="14" t="s">
        <v>9</v>
      </c>
      <c r="J41" s="5" t="s">
        <v>159</v>
      </c>
      <c r="K41" s="10" t="s">
        <v>345</v>
      </c>
      <c r="L41" s="14"/>
      <c r="M41" s="9" t="s">
        <v>160</v>
      </c>
      <c r="N41" s="10" t="s">
        <v>345</v>
      </c>
      <c r="O41" s="14"/>
      <c r="P41" s="12" t="s">
        <v>161</v>
      </c>
      <c r="Q41" s="10">
        <v>22.0</v>
      </c>
      <c r="R41" s="14" t="s">
        <v>9</v>
      </c>
      <c r="S41" s="1" t="s">
        <v>162</v>
      </c>
      <c r="T41" s="9"/>
      <c r="U41" s="9"/>
      <c r="V41" s="100" t="s">
        <v>58</v>
      </c>
      <c r="W41" s="101">
        <v>6.0</v>
      </c>
      <c r="X41" s="100"/>
      <c r="Y41" s="100" t="s">
        <v>201</v>
      </c>
      <c r="Z41" s="101">
        <v>11.0</v>
      </c>
    </row>
    <row r="42" ht="12.75" customHeight="1">
      <c r="A42" s="9"/>
      <c r="B42" s="10" t="s">
        <v>345</v>
      </c>
      <c r="C42" s="14"/>
      <c r="D42" s="12" t="s">
        <v>163</v>
      </c>
      <c r="E42" s="10" t="s">
        <v>345</v>
      </c>
      <c r="F42" s="14"/>
      <c r="G42" s="12" t="s">
        <v>164</v>
      </c>
      <c r="H42" s="10" t="s">
        <v>345</v>
      </c>
      <c r="I42" s="14"/>
      <c r="J42" s="12" t="s">
        <v>165</v>
      </c>
      <c r="K42" s="10" t="s">
        <v>345</v>
      </c>
      <c r="L42" s="14"/>
      <c r="M42" s="12" t="s">
        <v>166</v>
      </c>
      <c r="N42" s="10">
        <v>0.0</v>
      </c>
      <c r="O42" s="14" t="s">
        <v>9</v>
      </c>
      <c r="P42" s="5" t="s">
        <v>167</v>
      </c>
      <c r="Q42" s="10" t="s">
        <v>345</v>
      </c>
      <c r="R42" s="14"/>
      <c r="S42" s="12" t="s">
        <v>168</v>
      </c>
      <c r="T42" s="9"/>
      <c r="U42" s="9"/>
      <c r="V42" s="100" t="s">
        <v>64</v>
      </c>
      <c r="W42" s="101">
        <v>8.0</v>
      </c>
      <c r="X42" s="100"/>
      <c r="Y42" s="18" t="s">
        <v>207</v>
      </c>
      <c r="Z42" s="101">
        <v>0.0</v>
      </c>
    </row>
    <row r="43" ht="12.75" customHeight="1">
      <c r="A43" s="9"/>
      <c r="B43" s="10"/>
      <c r="C43" s="3"/>
      <c r="D43" s="9"/>
      <c r="E43" s="10"/>
      <c r="F43" s="3"/>
      <c r="G43" s="9"/>
      <c r="H43" s="10"/>
      <c r="I43" s="3"/>
      <c r="J43" s="9"/>
      <c r="K43" s="10"/>
      <c r="L43" s="3"/>
      <c r="M43" s="9"/>
      <c r="N43" s="10"/>
      <c r="O43" s="3"/>
      <c r="P43" s="9"/>
      <c r="Q43" s="10"/>
      <c r="R43" s="3"/>
      <c r="S43" s="9"/>
      <c r="T43" s="9"/>
      <c r="U43" s="9"/>
      <c r="V43" s="100" t="s">
        <v>77</v>
      </c>
      <c r="W43" s="101">
        <v>8.0</v>
      </c>
      <c r="X43" s="100"/>
      <c r="Y43" s="100" t="s">
        <v>219</v>
      </c>
      <c r="Z43" s="101">
        <v>0.0</v>
      </c>
    </row>
    <row r="44" ht="12.75" customHeight="1">
      <c r="A44" s="9" t="s">
        <v>26</v>
      </c>
      <c r="B44" s="10">
        <v>16.0</v>
      </c>
      <c r="C44" s="14" t="s">
        <v>9</v>
      </c>
      <c r="D44" s="1" t="s">
        <v>169</v>
      </c>
      <c r="E44" s="10">
        <v>0.0</v>
      </c>
      <c r="F44" s="14" t="s">
        <v>9</v>
      </c>
      <c r="G44" s="1" t="s">
        <v>170</v>
      </c>
      <c r="H44" s="10">
        <v>2.0</v>
      </c>
      <c r="I44" s="14" t="s">
        <v>9</v>
      </c>
      <c r="J44" s="1" t="s">
        <v>171</v>
      </c>
      <c r="K44" s="10">
        <v>27.0</v>
      </c>
      <c r="L44" s="14" t="s">
        <v>9</v>
      </c>
      <c r="M44" s="1" t="s">
        <v>172</v>
      </c>
      <c r="N44" s="10" t="s">
        <v>345</v>
      </c>
      <c r="O44" s="14"/>
      <c r="P44" s="12" t="s">
        <v>173</v>
      </c>
      <c r="Q44" s="10">
        <v>2.0</v>
      </c>
      <c r="R44" s="14" t="s">
        <v>9</v>
      </c>
      <c r="S44" s="1" t="s">
        <v>174</v>
      </c>
      <c r="T44" s="9"/>
      <c r="U44" s="9"/>
      <c r="V44" s="100" t="s">
        <v>103</v>
      </c>
      <c r="W44" s="101">
        <v>7.0</v>
      </c>
      <c r="X44" s="100"/>
      <c r="Y44" s="100" t="s">
        <v>237</v>
      </c>
      <c r="Z44" s="101">
        <v>7.0</v>
      </c>
    </row>
    <row r="45" ht="12.75" customHeight="1">
      <c r="A45" s="9"/>
      <c r="B45" s="10" t="s">
        <v>345</v>
      </c>
      <c r="C45" s="14"/>
      <c r="D45" s="9" t="s">
        <v>175</v>
      </c>
      <c r="E45" s="10" t="s">
        <v>345</v>
      </c>
      <c r="F45" s="14"/>
      <c r="G45" s="9" t="s">
        <v>176</v>
      </c>
      <c r="H45" s="10" t="s">
        <v>345</v>
      </c>
      <c r="I45" s="14"/>
      <c r="J45" s="12" t="s">
        <v>177</v>
      </c>
      <c r="K45" s="10">
        <v>2.0</v>
      </c>
      <c r="L45" s="14" t="s">
        <v>9</v>
      </c>
      <c r="M45" s="1" t="s">
        <v>178</v>
      </c>
      <c r="N45" s="10">
        <v>2.0</v>
      </c>
      <c r="O45" s="14" t="s">
        <v>9</v>
      </c>
      <c r="P45" s="1" t="s">
        <v>179</v>
      </c>
      <c r="Q45" s="10">
        <v>6.0</v>
      </c>
      <c r="R45" s="14" t="s">
        <v>9</v>
      </c>
      <c r="S45" s="1" t="s">
        <v>180</v>
      </c>
      <c r="T45" s="9"/>
      <c r="U45" s="9"/>
      <c r="V45" s="100" t="s">
        <v>116</v>
      </c>
      <c r="W45" s="101">
        <v>16.0</v>
      </c>
      <c r="X45" s="100"/>
      <c r="Y45" s="100" t="s">
        <v>255</v>
      </c>
      <c r="Z45" s="101">
        <v>5.0</v>
      </c>
    </row>
    <row r="46" ht="12.75" customHeight="1">
      <c r="A46" s="9"/>
      <c r="B46" s="10">
        <v>0.0</v>
      </c>
      <c r="C46" s="14" t="s">
        <v>9</v>
      </c>
      <c r="D46" s="5" t="s">
        <v>181</v>
      </c>
      <c r="E46" s="10">
        <v>2.0</v>
      </c>
      <c r="F46" s="14" t="s">
        <v>9</v>
      </c>
      <c r="G46" s="1" t="s">
        <v>182</v>
      </c>
      <c r="H46" s="10">
        <v>0.0</v>
      </c>
      <c r="I46" s="14" t="s">
        <v>9</v>
      </c>
      <c r="J46" s="5" t="s">
        <v>183</v>
      </c>
      <c r="K46" s="10" t="s">
        <v>345</v>
      </c>
      <c r="L46" s="14"/>
      <c r="M46" s="12" t="s">
        <v>184</v>
      </c>
      <c r="N46" s="10">
        <v>0.0</v>
      </c>
      <c r="O46" s="14" t="s">
        <v>9</v>
      </c>
      <c r="P46" s="4" t="s">
        <v>185</v>
      </c>
      <c r="Q46" s="10" t="s">
        <v>345</v>
      </c>
      <c r="R46" s="14"/>
      <c r="S46" s="12" t="s">
        <v>186</v>
      </c>
      <c r="T46" s="9"/>
      <c r="U46" s="9"/>
      <c r="V46" s="100" t="s">
        <v>123</v>
      </c>
      <c r="W46" s="101">
        <v>5.0</v>
      </c>
      <c r="X46" s="100"/>
      <c r="Y46" s="100" t="s">
        <v>267</v>
      </c>
      <c r="Z46" s="101">
        <v>0.0</v>
      </c>
    </row>
    <row r="47" ht="12.75" customHeight="1">
      <c r="A47" s="9"/>
      <c r="B47" s="10" t="s">
        <v>345</v>
      </c>
      <c r="C47" s="14"/>
      <c r="D47" s="12" t="s">
        <v>187</v>
      </c>
      <c r="E47" s="10" t="s">
        <v>345</v>
      </c>
      <c r="F47" s="14"/>
      <c r="G47" s="12" t="s">
        <v>188</v>
      </c>
      <c r="H47" s="10" t="s">
        <v>345</v>
      </c>
      <c r="I47" s="14"/>
      <c r="J47" s="12" t="s">
        <v>189</v>
      </c>
      <c r="K47" s="10" t="s">
        <v>345</v>
      </c>
      <c r="L47" s="14"/>
      <c r="M47" s="12" t="s">
        <v>190</v>
      </c>
      <c r="N47" s="10" t="s">
        <v>345</v>
      </c>
      <c r="O47" s="14"/>
      <c r="P47" s="12" t="s">
        <v>191</v>
      </c>
      <c r="Q47" s="10" t="s">
        <v>345</v>
      </c>
      <c r="R47" s="14"/>
      <c r="S47" s="9" t="s">
        <v>192</v>
      </c>
      <c r="T47" s="9"/>
      <c r="U47" s="9"/>
      <c r="V47" s="100"/>
      <c r="W47" s="101">
        <v>71.0</v>
      </c>
      <c r="X47" s="100"/>
      <c r="Y47" s="100"/>
      <c r="Z47" s="101">
        <v>28.0</v>
      </c>
    </row>
    <row r="48" ht="12.75" customHeight="1">
      <c r="A48" s="9"/>
      <c r="B48" s="10"/>
      <c r="C48" s="3"/>
      <c r="D48" s="9"/>
      <c r="E48" s="10"/>
      <c r="F48" s="3"/>
      <c r="G48" s="9"/>
      <c r="H48" s="10"/>
      <c r="I48" s="3"/>
      <c r="J48" s="9"/>
      <c r="K48" s="10"/>
      <c r="L48" s="3"/>
      <c r="M48" s="9"/>
      <c r="N48" s="10"/>
      <c r="O48" s="3"/>
      <c r="P48" s="9"/>
      <c r="Q48" s="10"/>
      <c r="R48" s="3"/>
      <c r="S48" s="9"/>
      <c r="T48" s="9"/>
      <c r="U48" s="9"/>
      <c r="V48" s="100"/>
      <c r="W48" s="101"/>
      <c r="X48" s="100"/>
      <c r="Y48" s="100"/>
      <c r="Z48" s="101"/>
    </row>
    <row r="49" ht="12.75" customHeight="1">
      <c r="A49" s="9" t="s">
        <v>51</v>
      </c>
      <c r="B49" s="10">
        <v>6.0</v>
      </c>
      <c r="C49" s="14" t="s">
        <v>9</v>
      </c>
      <c r="D49" s="1" t="s">
        <v>193</v>
      </c>
      <c r="E49" s="10">
        <v>9.0</v>
      </c>
      <c r="F49" s="14" t="s">
        <v>9</v>
      </c>
      <c r="G49" s="1" t="s">
        <v>194</v>
      </c>
      <c r="H49" s="10" t="s">
        <v>345</v>
      </c>
      <c r="I49" s="14"/>
      <c r="J49" s="9" t="s">
        <v>364</v>
      </c>
      <c r="K49" s="10">
        <v>6.0</v>
      </c>
      <c r="L49" s="14" t="s">
        <v>9</v>
      </c>
      <c r="M49" s="1" t="s">
        <v>196</v>
      </c>
      <c r="N49" s="10" t="s">
        <v>345</v>
      </c>
      <c r="O49" s="14"/>
      <c r="P49" s="9" t="s">
        <v>197</v>
      </c>
      <c r="Q49" s="10">
        <v>0.0</v>
      </c>
      <c r="R49" s="14" t="s">
        <v>9</v>
      </c>
      <c r="S49" s="5" t="s">
        <v>198</v>
      </c>
      <c r="T49" s="9"/>
      <c r="U49" s="9"/>
      <c r="V49" s="98" t="s">
        <v>324</v>
      </c>
      <c r="W49" s="99"/>
      <c r="X49" s="98"/>
      <c r="Y49" s="98" t="s">
        <v>328</v>
      </c>
      <c r="Z49" s="99"/>
    </row>
    <row r="50" ht="12.75" customHeight="1">
      <c r="A50" s="9"/>
      <c r="B50" s="10" t="s">
        <v>345</v>
      </c>
      <c r="C50" s="14"/>
      <c r="D50" s="9" t="s">
        <v>199</v>
      </c>
      <c r="E50" s="10">
        <v>8.0</v>
      </c>
      <c r="F50" s="14" t="s">
        <v>9</v>
      </c>
      <c r="G50" s="5" t="s">
        <v>200</v>
      </c>
      <c r="H50" s="10">
        <v>11.0</v>
      </c>
      <c r="I50" s="14" t="s">
        <v>9</v>
      </c>
      <c r="J50" s="1" t="s">
        <v>201</v>
      </c>
      <c r="K50" s="10" t="s">
        <v>345</v>
      </c>
      <c r="L50" s="14"/>
      <c r="M50" s="9" t="s">
        <v>202</v>
      </c>
      <c r="N50" s="10" t="s">
        <v>345</v>
      </c>
      <c r="O50" s="14"/>
      <c r="P50" s="9" t="s">
        <v>203</v>
      </c>
      <c r="Q50" s="10" t="s">
        <v>345</v>
      </c>
      <c r="R50" s="14"/>
      <c r="S50" s="9" t="s">
        <v>204</v>
      </c>
      <c r="T50" s="9"/>
      <c r="U50" s="9"/>
      <c r="V50" s="100" t="s">
        <v>151</v>
      </c>
      <c r="W50" s="101">
        <v>8.0</v>
      </c>
      <c r="X50" s="100"/>
      <c r="Y50" s="100" t="s">
        <v>167</v>
      </c>
      <c r="Z50" s="101">
        <v>0.0</v>
      </c>
    </row>
    <row r="51" ht="12.75" customHeight="1">
      <c r="A51" s="9"/>
      <c r="B51" s="10">
        <v>0.0</v>
      </c>
      <c r="C51" s="14" t="s">
        <v>9</v>
      </c>
      <c r="D51" s="1" t="s">
        <v>205</v>
      </c>
      <c r="E51" s="10" t="s">
        <v>345</v>
      </c>
      <c r="F51" s="14"/>
      <c r="G51" s="9" t="s">
        <v>206</v>
      </c>
      <c r="H51" s="10">
        <v>0.0</v>
      </c>
      <c r="I51" s="14" t="s">
        <v>9</v>
      </c>
      <c r="J51" s="4" t="s">
        <v>207</v>
      </c>
      <c r="K51" s="10" t="s">
        <v>345</v>
      </c>
      <c r="L51" s="14"/>
      <c r="M51" s="9" t="s">
        <v>208</v>
      </c>
      <c r="N51" s="10">
        <v>8.0</v>
      </c>
      <c r="O51" s="14" t="s">
        <v>9</v>
      </c>
      <c r="P51" s="1" t="s">
        <v>209</v>
      </c>
      <c r="Q51" s="10">
        <v>9.0</v>
      </c>
      <c r="R51" s="14" t="s">
        <v>9</v>
      </c>
      <c r="S51" s="1" t="s">
        <v>210</v>
      </c>
      <c r="T51" s="9"/>
      <c r="U51" s="9"/>
      <c r="V51" s="100" t="s">
        <v>169</v>
      </c>
      <c r="W51" s="101">
        <v>16.0</v>
      </c>
      <c r="X51" s="100"/>
      <c r="Y51" s="100" t="s">
        <v>179</v>
      </c>
      <c r="Z51" s="101">
        <v>2.0</v>
      </c>
    </row>
    <row r="52" ht="12.75" customHeight="1">
      <c r="A52" s="9"/>
      <c r="B52" s="10" t="s">
        <v>345</v>
      </c>
      <c r="C52" s="14"/>
      <c r="D52" s="12" t="s">
        <v>211</v>
      </c>
      <c r="E52" s="10" t="s">
        <v>345</v>
      </c>
      <c r="F52" s="14"/>
      <c r="G52" s="17" t="s">
        <v>212</v>
      </c>
      <c r="H52" s="10" t="s">
        <v>345</v>
      </c>
      <c r="I52" s="14"/>
      <c r="J52" s="12" t="s">
        <v>213</v>
      </c>
      <c r="K52" s="10">
        <v>0.0</v>
      </c>
      <c r="L52" s="14" t="s">
        <v>9</v>
      </c>
      <c r="M52" s="5" t="s">
        <v>381</v>
      </c>
      <c r="N52" s="10">
        <v>0.0</v>
      </c>
      <c r="O52" s="14" t="s">
        <v>9</v>
      </c>
      <c r="P52" s="5" t="s">
        <v>215</v>
      </c>
      <c r="Q52" s="10" t="s">
        <v>345</v>
      </c>
      <c r="R52" s="14"/>
      <c r="S52" s="12" t="s">
        <v>216</v>
      </c>
      <c r="T52" s="9"/>
      <c r="U52" s="9"/>
      <c r="V52" s="100" t="s">
        <v>181</v>
      </c>
      <c r="W52" s="101">
        <v>0.0</v>
      </c>
      <c r="X52" s="100"/>
      <c r="Y52" s="18" t="s">
        <v>185</v>
      </c>
      <c r="Z52" s="101">
        <v>0.0</v>
      </c>
    </row>
    <row r="53" ht="12.75" customHeight="1">
      <c r="A53" s="9"/>
      <c r="B53" s="10"/>
      <c r="C53" s="3"/>
      <c r="D53" s="9"/>
      <c r="E53" s="10"/>
      <c r="F53" s="3"/>
      <c r="G53" s="9"/>
      <c r="H53" s="10"/>
      <c r="I53" s="3"/>
      <c r="J53" s="9"/>
      <c r="K53" s="10"/>
      <c r="L53" s="3"/>
      <c r="M53" s="9"/>
      <c r="N53" s="10"/>
      <c r="O53" s="3"/>
      <c r="P53" s="9"/>
      <c r="Q53" s="10"/>
      <c r="R53" s="3"/>
      <c r="S53" s="9"/>
      <c r="T53" s="9"/>
      <c r="U53" s="9"/>
      <c r="V53" s="100" t="s">
        <v>193</v>
      </c>
      <c r="W53" s="101">
        <v>6.0</v>
      </c>
      <c r="X53" s="100"/>
      <c r="Y53" s="100" t="s">
        <v>209</v>
      </c>
      <c r="Z53" s="101">
        <v>8.0</v>
      </c>
    </row>
    <row r="54" ht="12.75" customHeight="1">
      <c r="A54" s="9" t="s">
        <v>76</v>
      </c>
      <c r="B54" s="10" t="s">
        <v>345</v>
      </c>
      <c r="C54" s="14"/>
      <c r="D54" s="9" t="s">
        <v>217</v>
      </c>
      <c r="E54" s="10">
        <v>11.0</v>
      </c>
      <c r="F54" s="14" t="s">
        <v>9</v>
      </c>
      <c r="G54" s="1" t="s">
        <v>218</v>
      </c>
      <c r="H54" s="10">
        <v>0.0</v>
      </c>
      <c r="I54" s="14" t="s">
        <v>9</v>
      </c>
      <c r="J54" s="1" t="s">
        <v>219</v>
      </c>
      <c r="K54" s="10" t="s">
        <v>345</v>
      </c>
      <c r="L54" s="14"/>
      <c r="M54" s="12" t="s">
        <v>220</v>
      </c>
      <c r="N54" s="10">
        <v>6.0</v>
      </c>
      <c r="O54" s="14" t="s">
        <v>9</v>
      </c>
      <c r="P54" s="1" t="s">
        <v>221</v>
      </c>
      <c r="Q54" s="10" t="s">
        <v>345</v>
      </c>
      <c r="R54" s="14"/>
      <c r="S54" s="9" t="s">
        <v>222</v>
      </c>
      <c r="T54" s="9"/>
      <c r="U54" s="9"/>
      <c r="V54" s="100" t="s">
        <v>205</v>
      </c>
      <c r="W54" s="101">
        <v>0.0</v>
      </c>
      <c r="X54" s="100"/>
      <c r="Y54" s="100" t="s">
        <v>215</v>
      </c>
      <c r="Z54" s="101">
        <v>0.0</v>
      </c>
    </row>
    <row r="55" ht="12.75" customHeight="1">
      <c r="A55" s="9"/>
      <c r="B55" s="10">
        <v>2.0</v>
      </c>
      <c r="C55" s="14" t="s">
        <v>9</v>
      </c>
      <c r="D55" s="5" t="s">
        <v>223</v>
      </c>
      <c r="E55" s="10" t="s">
        <v>345</v>
      </c>
      <c r="F55" s="14"/>
      <c r="G55" s="9" t="s">
        <v>224</v>
      </c>
      <c r="H55" s="10" t="s">
        <v>345</v>
      </c>
      <c r="I55" s="14"/>
      <c r="J55" s="9" t="s">
        <v>225</v>
      </c>
      <c r="K55" s="10" t="s">
        <v>345</v>
      </c>
      <c r="L55" s="14"/>
      <c r="M55" s="12" t="s">
        <v>226</v>
      </c>
      <c r="N55" s="10" t="s">
        <v>345</v>
      </c>
      <c r="O55" s="14"/>
      <c r="P55" s="9" t="s">
        <v>227</v>
      </c>
      <c r="Q55" s="10" t="s">
        <v>345</v>
      </c>
      <c r="R55" s="14"/>
      <c r="S55" s="12" t="s">
        <v>228</v>
      </c>
      <c r="T55" s="9"/>
      <c r="U55" s="9"/>
      <c r="V55" s="100" t="s">
        <v>223</v>
      </c>
      <c r="W55" s="101">
        <v>2.0</v>
      </c>
      <c r="X55" s="100"/>
      <c r="Y55" s="100" t="s">
        <v>221</v>
      </c>
      <c r="Z55" s="101">
        <v>6.0</v>
      </c>
    </row>
    <row r="56" ht="12.75" customHeight="1">
      <c r="A56" s="9"/>
      <c r="B56" s="10" t="s">
        <v>345</v>
      </c>
      <c r="C56" s="14"/>
      <c r="D56" s="12" t="s">
        <v>229</v>
      </c>
      <c r="E56" s="10" t="s">
        <v>345</v>
      </c>
      <c r="F56" s="14"/>
      <c r="G56" s="9" t="s">
        <v>230</v>
      </c>
      <c r="H56" s="10" t="s">
        <v>345</v>
      </c>
      <c r="I56" s="14"/>
      <c r="J56" s="12" t="s">
        <v>231</v>
      </c>
      <c r="K56" s="10">
        <v>0.0</v>
      </c>
      <c r="L56" s="14" t="s">
        <v>9</v>
      </c>
      <c r="M56" s="5" t="s">
        <v>232</v>
      </c>
      <c r="N56" s="10" t="s">
        <v>345</v>
      </c>
      <c r="O56" s="14"/>
      <c r="P56" s="9" t="s">
        <v>233</v>
      </c>
      <c r="Q56" s="10">
        <v>0.0</v>
      </c>
      <c r="R56" s="14" t="s">
        <v>9</v>
      </c>
      <c r="S56" s="5" t="s">
        <v>234</v>
      </c>
      <c r="T56" s="9"/>
      <c r="U56" s="9"/>
      <c r="V56" s="100" t="s">
        <v>241</v>
      </c>
      <c r="W56" s="101">
        <v>0.0</v>
      </c>
      <c r="X56" s="100"/>
      <c r="Y56" s="100" t="s">
        <v>245</v>
      </c>
      <c r="Z56" s="101">
        <v>0.0</v>
      </c>
    </row>
    <row r="57" ht="12.75" customHeight="1">
      <c r="A57" s="9"/>
      <c r="B57" s="10"/>
      <c r="C57" s="3"/>
      <c r="D57" s="9"/>
      <c r="E57" s="10"/>
      <c r="F57" s="3"/>
      <c r="G57" s="9"/>
      <c r="H57" s="10"/>
      <c r="I57" s="3"/>
      <c r="J57" s="9"/>
      <c r="K57" s="10"/>
      <c r="L57" s="3"/>
      <c r="M57" s="9"/>
      <c r="N57" s="10"/>
      <c r="O57" s="3"/>
      <c r="P57" s="9"/>
      <c r="Q57" s="10"/>
      <c r="R57" s="3"/>
      <c r="S57" s="9"/>
      <c r="T57" s="9"/>
      <c r="U57" s="9"/>
      <c r="V57" s="100" t="s">
        <v>247</v>
      </c>
      <c r="W57" s="101">
        <v>0.0</v>
      </c>
      <c r="X57" s="100"/>
      <c r="Y57" s="100" t="s">
        <v>257</v>
      </c>
      <c r="Z57" s="101">
        <v>5.0</v>
      </c>
    </row>
    <row r="58" ht="12.75" customHeight="1">
      <c r="A58" s="9" t="s">
        <v>96</v>
      </c>
      <c r="B58" s="10" t="s">
        <v>345</v>
      </c>
      <c r="C58" s="14"/>
      <c r="D58" s="9" t="s">
        <v>235</v>
      </c>
      <c r="E58" s="10" t="s">
        <v>345</v>
      </c>
      <c r="F58" s="14"/>
      <c r="G58" s="9" t="s">
        <v>236</v>
      </c>
      <c r="H58" s="10">
        <v>7.0</v>
      </c>
      <c r="I58" s="14" t="s">
        <v>9</v>
      </c>
      <c r="J58" s="1" t="s">
        <v>237</v>
      </c>
      <c r="K58" s="10">
        <v>10.0</v>
      </c>
      <c r="L58" s="14" t="s">
        <v>9</v>
      </c>
      <c r="M58" s="5" t="s">
        <v>238</v>
      </c>
      <c r="N58" s="10" t="s">
        <v>345</v>
      </c>
      <c r="O58" s="14"/>
      <c r="P58" s="12" t="s">
        <v>239</v>
      </c>
      <c r="Q58" s="10" t="s">
        <v>345</v>
      </c>
      <c r="R58" s="14"/>
      <c r="S58" s="9" t="s">
        <v>240</v>
      </c>
      <c r="T58" s="9"/>
      <c r="U58" s="9"/>
      <c r="V58" s="100" t="s">
        <v>265</v>
      </c>
      <c r="W58" s="101">
        <v>4.0</v>
      </c>
      <c r="X58" s="100"/>
      <c r="Y58" s="100" t="s">
        <v>269</v>
      </c>
      <c r="Z58" s="101">
        <v>0.0</v>
      </c>
    </row>
    <row r="59" ht="12.75" customHeight="1">
      <c r="A59" s="9"/>
      <c r="B59" s="10">
        <v>0.0</v>
      </c>
      <c r="C59" s="14" t="s">
        <v>9</v>
      </c>
      <c r="D59" s="5" t="s">
        <v>241</v>
      </c>
      <c r="E59" s="10">
        <v>0.0</v>
      </c>
      <c r="F59" s="14" t="s">
        <v>9</v>
      </c>
      <c r="G59" s="1" t="s">
        <v>242</v>
      </c>
      <c r="H59" s="10" t="s">
        <v>345</v>
      </c>
      <c r="I59" s="14"/>
      <c r="J59" s="9" t="s">
        <v>243</v>
      </c>
      <c r="K59" s="10" t="s">
        <v>345</v>
      </c>
      <c r="L59" s="14"/>
      <c r="M59" s="12" t="s">
        <v>244</v>
      </c>
      <c r="N59" s="10">
        <v>0.0</v>
      </c>
      <c r="O59" s="14" t="s">
        <v>9</v>
      </c>
      <c r="P59" s="5" t="s">
        <v>245</v>
      </c>
      <c r="Q59" s="10">
        <v>4.0</v>
      </c>
      <c r="R59" s="14" t="s">
        <v>9</v>
      </c>
      <c r="S59" s="5" t="s">
        <v>246</v>
      </c>
      <c r="T59" s="9"/>
      <c r="U59" s="9"/>
      <c r="V59" s="100"/>
      <c r="W59" s="101">
        <v>36.0</v>
      </c>
      <c r="X59" s="100"/>
      <c r="Y59" s="100"/>
      <c r="Z59" s="101">
        <v>21.0</v>
      </c>
    </row>
    <row r="60" ht="12.75" customHeight="1">
      <c r="A60" s="9"/>
      <c r="B60" s="10"/>
      <c r="C60" s="3"/>
      <c r="D60" s="9"/>
      <c r="E60" s="10"/>
      <c r="F60" s="3"/>
      <c r="G60" s="9"/>
      <c r="H60" s="10"/>
      <c r="I60" s="3"/>
      <c r="J60" s="9"/>
      <c r="K60" s="10"/>
      <c r="L60" s="3"/>
      <c r="M60" s="9"/>
      <c r="N60" s="10"/>
      <c r="O60" s="3"/>
      <c r="P60" s="9"/>
      <c r="Q60" s="10"/>
      <c r="R60" s="3"/>
      <c r="S60" s="9"/>
      <c r="T60" s="9"/>
      <c r="U60" s="9"/>
      <c r="V60" s="100"/>
      <c r="W60" s="101"/>
      <c r="X60" s="100"/>
      <c r="Y60" s="100"/>
      <c r="Z60" s="101"/>
    </row>
    <row r="61" ht="12.75" customHeight="1">
      <c r="A61" s="9" t="s">
        <v>109</v>
      </c>
      <c r="B61" s="10">
        <v>0.0</v>
      </c>
      <c r="C61" s="14" t="s">
        <v>9</v>
      </c>
      <c r="D61" s="1" t="s">
        <v>247</v>
      </c>
      <c r="E61" s="10">
        <v>6.0</v>
      </c>
      <c r="F61" s="14" t="s">
        <v>9</v>
      </c>
      <c r="G61" s="5" t="s">
        <v>248</v>
      </c>
      <c r="H61" s="10" t="s">
        <v>345</v>
      </c>
      <c r="I61" s="14"/>
      <c r="J61" s="12" t="s">
        <v>249</v>
      </c>
      <c r="K61" s="10" t="s">
        <v>345</v>
      </c>
      <c r="L61" s="14"/>
      <c r="M61" s="12" t="s">
        <v>250</v>
      </c>
      <c r="N61" s="10" t="s">
        <v>345</v>
      </c>
      <c r="O61" s="14"/>
      <c r="P61" s="9" t="s">
        <v>251</v>
      </c>
      <c r="Q61" s="10">
        <v>2.0</v>
      </c>
      <c r="R61" s="14" t="s">
        <v>9</v>
      </c>
      <c r="S61" s="5" t="s">
        <v>252</v>
      </c>
      <c r="T61" s="9"/>
      <c r="U61" s="9"/>
      <c r="V61" s="98" t="s">
        <v>325</v>
      </c>
      <c r="W61" s="99"/>
      <c r="X61" s="98"/>
      <c r="Y61" s="98" t="s">
        <v>329</v>
      </c>
      <c r="Z61" s="99"/>
    </row>
    <row r="62" ht="12.75" customHeight="1">
      <c r="A62" s="9"/>
      <c r="B62" s="10" t="s">
        <v>345</v>
      </c>
      <c r="C62" s="14"/>
      <c r="D62" s="9" t="s">
        <v>253</v>
      </c>
      <c r="E62" s="10" t="s">
        <v>345</v>
      </c>
      <c r="F62" s="14"/>
      <c r="G62" s="12" t="s">
        <v>254</v>
      </c>
      <c r="H62" s="10">
        <v>5.0</v>
      </c>
      <c r="I62" s="14" t="s">
        <v>9</v>
      </c>
      <c r="J62" s="5" t="s">
        <v>255</v>
      </c>
      <c r="K62" s="10">
        <v>15.0</v>
      </c>
      <c r="L62" s="14" t="s">
        <v>9</v>
      </c>
      <c r="M62" s="1" t="s">
        <v>256</v>
      </c>
      <c r="N62" s="10">
        <v>5.0</v>
      </c>
      <c r="O62" s="14" t="s">
        <v>9</v>
      </c>
      <c r="P62" s="5" t="s">
        <v>257</v>
      </c>
      <c r="Q62" s="10" t="s">
        <v>345</v>
      </c>
      <c r="R62" s="14"/>
      <c r="S62" s="12" t="s">
        <v>258</v>
      </c>
      <c r="T62" s="9"/>
      <c r="U62" s="9"/>
      <c r="V62" s="100" t="s">
        <v>158</v>
      </c>
      <c r="W62" s="101">
        <v>6.0</v>
      </c>
      <c r="X62" s="100"/>
      <c r="Y62" s="100" t="s">
        <v>162</v>
      </c>
      <c r="Z62" s="101">
        <v>22.0</v>
      </c>
    </row>
    <row r="63" ht="12.75" customHeight="1">
      <c r="A63" s="9"/>
      <c r="B63" s="10"/>
      <c r="C63" s="3"/>
      <c r="D63" s="9"/>
      <c r="E63" s="10"/>
      <c r="F63" s="3"/>
      <c r="G63" s="9"/>
      <c r="H63" s="10"/>
      <c r="I63" s="3"/>
      <c r="J63" s="9"/>
      <c r="K63" s="10"/>
      <c r="L63" s="3"/>
      <c r="M63" s="9"/>
      <c r="N63" s="10"/>
      <c r="O63" s="3"/>
      <c r="P63" s="9"/>
      <c r="Q63" s="10"/>
      <c r="R63" s="3"/>
      <c r="S63" s="9"/>
      <c r="T63" s="9"/>
      <c r="U63" s="9"/>
      <c r="V63" s="100" t="s">
        <v>170</v>
      </c>
      <c r="W63" s="101">
        <v>0.0</v>
      </c>
      <c r="X63" s="100"/>
      <c r="Y63" s="100" t="s">
        <v>174</v>
      </c>
      <c r="Z63" s="101">
        <v>2.0</v>
      </c>
    </row>
    <row r="64" ht="12.75" customHeight="1">
      <c r="A64" s="9" t="s">
        <v>122</v>
      </c>
      <c r="B64" s="10" t="s">
        <v>345</v>
      </c>
      <c r="C64" s="14"/>
      <c r="D64" s="12" t="s">
        <v>259</v>
      </c>
      <c r="E64" s="10" t="s">
        <v>345</v>
      </c>
      <c r="F64" s="14"/>
      <c r="G64" s="9" t="s">
        <v>260</v>
      </c>
      <c r="H64" s="10" t="s">
        <v>345</v>
      </c>
      <c r="I64" s="14"/>
      <c r="J64" s="9" t="s">
        <v>261</v>
      </c>
      <c r="K64" s="10">
        <v>0.0</v>
      </c>
      <c r="L64" s="14" t="s">
        <v>9</v>
      </c>
      <c r="M64" s="5" t="s">
        <v>262</v>
      </c>
      <c r="N64" s="10" t="s">
        <v>345</v>
      </c>
      <c r="O64" s="14"/>
      <c r="P64" s="12" t="s">
        <v>263</v>
      </c>
      <c r="Q64" s="10">
        <v>0.0</v>
      </c>
      <c r="R64" s="14" t="s">
        <v>9</v>
      </c>
      <c r="S64" s="1" t="s">
        <v>264</v>
      </c>
      <c r="T64" s="9"/>
      <c r="U64" s="9"/>
      <c r="V64" s="100" t="s">
        <v>182</v>
      </c>
      <c r="W64" s="101">
        <v>2.0</v>
      </c>
      <c r="X64" s="100"/>
      <c r="Y64" s="100" t="s">
        <v>180</v>
      </c>
      <c r="Z64" s="101">
        <v>6.0</v>
      </c>
    </row>
    <row r="65" ht="12.75" customHeight="1">
      <c r="A65" s="9"/>
      <c r="B65" s="10">
        <v>4.0</v>
      </c>
      <c r="C65" s="14" t="s">
        <v>9</v>
      </c>
      <c r="D65" s="1" t="s">
        <v>265</v>
      </c>
      <c r="E65" s="10">
        <v>4.0</v>
      </c>
      <c r="F65" s="14" t="s">
        <v>9</v>
      </c>
      <c r="G65" s="5" t="s">
        <v>266</v>
      </c>
      <c r="H65" s="10">
        <v>0.0</v>
      </c>
      <c r="I65" s="14" t="s">
        <v>9</v>
      </c>
      <c r="J65" s="1" t="s">
        <v>267</v>
      </c>
      <c r="K65" s="10" t="s">
        <v>345</v>
      </c>
      <c r="L65" s="14"/>
      <c r="M65" s="9" t="s">
        <v>268</v>
      </c>
      <c r="N65" s="10">
        <v>0.0</v>
      </c>
      <c r="O65" s="14" t="s">
        <v>9</v>
      </c>
      <c r="P65" s="1" t="s">
        <v>269</v>
      </c>
      <c r="Q65" s="10" t="s">
        <v>345</v>
      </c>
      <c r="R65" s="14"/>
      <c r="S65" s="12" t="s">
        <v>270</v>
      </c>
      <c r="T65" s="9"/>
      <c r="U65" s="9"/>
      <c r="V65" s="100" t="s">
        <v>194</v>
      </c>
      <c r="W65" s="101">
        <v>9.0</v>
      </c>
      <c r="X65" s="100"/>
      <c r="Y65" s="100" t="s">
        <v>198</v>
      </c>
      <c r="Z65" s="101">
        <v>0.0</v>
      </c>
    </row>
    <row r="66" ht="12.75" customHeight="1">
      <c r="A66" s="9"/>
      <c r="B66" s="2"/>
      <c r="C66" s="3"/>
      <c r="D66" s="9"/>
      <c r="E66" s="10"/>
      <c r="F66" s="3"/>
      <c r="G66" s="9"/>
      <c r="H66" s="10"/>
      <c r="I66" s="3"/>
      <c r="J66" s="9"/>
      <c r="K66" s="10"/>
      <c r="L66" s="3"/>
      <c r="M66" s="9"/>
      <c r="N66" s="10"/>
      <c r="O66" s="3"/>
      <c r="P66" s="9"/>
      <c r="Q66" s="10"/>
      <c r="R66" s="3"/>
      <c r="S66" s="9"/>
      <c r="T66" s="9"/>
      <c r="U66" s="9"/>
      <c r="V66" s="100" t="s">
        <v>200</v>
      </c>
      <c r="W66" s="101">
        <v>8.0</v>
      </c>
      <c r="X66" s="100"/>
      <c r="Y66" s="100" t="s">
        <v>210</v>
      </c>
      <c r="Z66" s="101">
        <v>9.0</v>
      </c>
    </row>
    <row r="67" ht="12.75" customHeight="1">
      <c r="A67" s="19"/>
      <c r="B67" s="20"/>
      <c r="C67" s="21"/>
      <c r="D67" s="22">
        <v>36.0</v>
      </c>
      <c r="E67" s="20"/>
      <c r="F67" s="21"/>
      <c r="G67" s="22">
        <v>46.0</v>
      </c>
      <c r="H67" s="20"/>
      <c r="I67" s="21"/>
      <c r="J67" s="22">
        <v>28.0</v>
      </c>
      <c r="K67" s="20"/>
      <c r="L67" s="21"/>
      <c r="M67" s="22">
        <v>68.0</v>
      </c>
      <c r="N67" s="20"/>
      <c r="O67" s="21"/>
      <c r="P67" s="22">
        <v>21.0</v>
      </c>
      <c r="Q67" s="20"/>
      <c r="R67" s="21"/>
      <c r="S67" s="22">
        <v>45.0</v>
      </c>
      <c r="T67" s="19"/>
      <c r="U67" s="19"/>
      <c r="V67" s="100" t="s">
        <v>218</v>
      </c>
      <c r="W67" s="101">
        <v>11.0</v>
      </c>
      <c r="X67" s="100"/>
      <c r="Y67" s="100" t="s">
        <v>234</v>
      </c>
      <c r="Z67" s="101">
        <v>0.0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6"/>
      <c r="S68" s="9"/>
      <c r="T68" s="9"/>
      <c r="U68" s="9"/>
      <c r="V68" s="100" t="s">
        <v>242</v>
      </c>
      <c r="W68" s="101">
        <v>0.0</v>
      </c>
      <c r="X68" s="100"/>
      <c r="Y68" s="100" t="s">
        <v>246</v>
      </c>
      <c r="Z68" s="101">
        <v>4.0</v>
      </c>
    </row>
    <row r="69" ht="12.75" customHeight="1">
      <c r="A69" s="9" t="s">
        <v>135</v>
      </c>
      <c r="B69" s="2"/>
      <c r="C69" s="3"/>
      <c r="D69" s="9" t="s">
        <v>271</v>
      </c>
      <c r="E69" s="2"/>
      <c r="F69" s="6"/>
      <c r="G69" s="9" t="s">
        <v>272</v>
      </c>
      <c r="H69" s="2"/>
      <c r="I69" s="6"/>
      <c r="J69" s="9" t="s">
        <v>273</v>
      </c>
      <c r="K69" s="2"/>
      <c r="L69" s="6"/>
      <c r="M69" s="9" t="s">
        <v>274</v>
      </c>
      <c r="N69" s="2"/>
      <c r="O69" s="6"/>
      <c r="P69" s="9" t="s">
        <v>275</v>
      </c>
      <c r="Q69" s="2"/>
      <c r="R69" s="6"/>
      <c r="S69" s="9" t="s">
        <v>276</v>
      </c>
      <c r="T69" s="9"/>
      <c r="U69" s="9"/>
      <c r="V69" s="100" t="s">
        <v>248</v>
      </c>
      <c r="W69" s="101">
        <v>6.0</v>
      </c>
      <c r="X69" s="100"/>
      <c r="Y69" s="100" t="s">
        <v>252</v>
      </c>
      <c r="Z69" s="101">
        <v>2.0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277</v>
      </c>
      <c r="K70" s="2"/>
      <c r="L70" s="6"/>
      <c r="M70" s="9" t="s">
        <v>95</v>
      </c>
      <c r="N70" s="2"/>
      <c r="O70" s="6"/>
      <c r="P70" s="9"/>
      <c r="Q70" s="2"/>
      <c r="R70" s="6"/>
      <c r="S70" s="9"/>
      <c r="T70" s="9"/>
      <c r="U70" s="9"/>
      <c r="V70" s="100" t="s">
        <v>266</v>
      </c>
      <c r="W70" s="101">
        <v>4.0</v>
      </c>
      <c r="X70" s="100"/>
      <c r="Y70" s="100" t="s">
        <v>264</v>
      </c>
      <c r="Z70" s="101">
        <v>0.0</v>
      </c>
    </row>
    <row r="71" ht="12.75" customHeight="1">
      <c r="A71" s="9"/>
      <c r="B71" s="2"/>
      <c r="C71" s="3"/>
      <c r="D71" s="9"/>
      <c r="E71" s="2"/>
      <c r="F71" s="6"/>
      <c r="G71" s="28"/>
      <c r="H71" s="2"/>
      <c r="I71" s="6"/>
      <c r="J71" s="28"/>
      <c r="K71" s="2"/>
      <c r="L71" s="6"/>
      <c r="M71" s="28"/>
      <c r="N71" s="2"/>
      <c r="O71" s="6"/>
      <c r="P71" s="28"/>
      <c r="Q71" s="2"/>
      <c r="R71" s="6"/>
      <c r="S71" s="28"/>
      <c r="T71" s="9"/>
      <c r="U71" s="9"/>
      <c r="V71" s="100"/>
      <c r="W71" s="101">
        <v>46.0</v>
      </c>
      <c r="X71" s="100"/>
      <c r="Y71" s="100"/>
      <c r="Z71" s="101">
        <v>45.0</v>
      </c>
    </row>
    <row r="72" ht="12.75" customHeight="1">
      <c r="A72" s="9" t="s">
        <v>143</v>
      </c>
      <c r="B72" s="2"/>
      <c r="C72" s="3"/>
      <c r="D72" s="12"/>
      <c r="F72" s="29"/>
      <c r="G72" s="25"/>
      <c r="H72" s="25"/>
      <c r="J72" s="25"/>
      <c r="K72" s="26"/>
      <c r="M72" s="25"/>
      <c r="N72" s="26"/>
      <c r="P72" s="25"/>
      <c r="Q72" s="25"/>
      <c r="R72" s="30"/>
      <c r="S72" s="25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29"/>
      <c r="G73" s="25"/>
      <c r="H73" s="25"/>
      <c r="J73" s="25"/>
      <c r="K73" s="26"/>
      <c r="M73" s="25"/>
      <c r="N73" s="28"/>
      <c r="P73" s="25"/>
      <c r="Q73" s="25"/>
      <c r="R73" s="30"/>
      <c r="S73" s="25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29"/>
      <c r="G74" s="25"/>
      <c r="H74" s="25"/>
      <c r="J74" s="25"/>
      <c r="K74" s="26"/>
      <c r="M74" s="25"/>
      <c r="N74" s="26"/>
      <c r="P74" s="25"/>
      <c r="Q74" s="25"/>
      <c r="R74" s="30"/>
      <c r="S74" s="25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1.57"/>
    <col customWidth="1" min="23" max="23" width="4.0"/>
    <col customWidth="1" min="24" max="24" width="3.0"/>
    <col customWidth="1" min="25" max="25" width="22.29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8" t="s">
        <v>327</v>
      </c>
      <c r="W1" s="99"/>
      <c r="X1" s="98"/>
      <c r="Y1" s="98" t="s">
        <v>323</v>
      </c>
      <c r="Z1" s="99"/>
    </row>
    <row r="2" ht="12.75" customHeight="1">
      <c r="A2" s="9" t="s">
        <v>6</v>
      </c>
      <c r="B2" s="10">
        <v>0.0</v>
      </c>
      <c r="C2" s="14" t="s">
        <v>9</v>
      </c>
      <c r="D2" s="1" t="s">
        <v>7</v>
      </c>
      <c r="E2" s="10" t="s">
        <v>345</v>
      </c>
      <c r="F2" s="14"/>
      <c r="G2" s="12" t="s">
        <v>8</v>
      </c>
      <c r="H2" s="10" t="s">
        <v>345</v>
      </c>
      <c r="I2" s="14"/>
      <c r="J2" s="9" t="s">
        <v>10</v>
      </c>
      <c r="K2" s="10">
        <v>6.0</v>
      </c>
      <c r="L2" s="14" t="s">
        <v>9</v>
      </c>
      <c r="M2" s="5" t="s">
        <v>11</v>
      </c>
      <c r="N2" s="10">
        <v>38.0</v>
      </c>
      <c r="O2" s="14" t="s">
        <v>9</v>
      </c>
      <c r="P2" s="1" t="s">
        <v>12</v>
      </c>
      <c r="Q2" s="10">
        <v>10.0</v>
      </c>
      <c r="R2" s="14" t="s">
        <v>9</v>
      </c>
      <c r="S2" s="5" t="s">
        <v>13</v>
      </c>
      <c r="T2" s="9"/>
      <c r="U2" s="9"/>
      <c r="V2" s="100" t="s">
        <v>160</v>
      </c>
      <c r="W2" s="101">
        <v>9.0</v>
      </c>
      <c r="X2" s="100"/>
      <c r="Y2" s="100" t="s">
        <v>13</v>
      </c>
      <c r="Z2" s="101">
        <v>10.0</v>
      </c>
    </row>
    <row r="3" ht="12.75" customHeight="1">
      <c r="A3" s="9"/>
      <c r="B3" s="10" t="s">
        <v>345</v>
      </c>
      <c r="C3" s="14"/>
      <c r="D3" s="9" t="s">
        <v>14</v>
      </c>
      <c r="E3" s="10" t="s">
        <v>345</v>
      </c>
      <c r="F3" s="14"/>
      <c r="G3" s="12" t="s">
        <v>15</v>
      </c>
      <c r="H3" s="10" t="s">
        <v>345</v>
      </c>
      <c r="I3" s="14"/>
      <c r="J3" s="9" t="s">
        <v>16</v>
      </c>
      <c r="K3" s="10" t="s">
        <v>345</v>
      </c>
      <c r="L3" s="14"/>
      <c r="M3" s="9" t="s">
        <v>17</v>
      </c>
      <c r="N3" s="10" t="s">
        <v>345</v>
      </c>
      <c r="O3" s="14"/>
      <c r="P3" s="9" t="s">
        <v>18</v>
      </c>
      <c r="Q3" s="10" t="s">
        <v>345</v>
      </c>
      <c r="R3" s="14"/>
      <c r="S3" s="9" t="s">
        <v>19</v>
      </c>
      <c r="T3" s="9"/>
      <c r="U3" s="9"/>
      <c r="V3" s="100" t="s">
        <v>178</v>
      </c>
      <c r="W3" s="101">
        <v>9.0</v>
      </c>
      <c r="X3" s="100"/>
      <c r="Y3" s="18" t="s">
        <v>44</v>
      </c>
      <c r="Z3" s="101">
        <v>0.0</v>
      </c>
    </row>
    <row r="4" ht="12.75" customHeight="1">
      <c r="A4" s="9"/>
      <c r="B4" s="10" t="s">
        <v>345</v>
      </c>
      <c r="C4" s="14"/>
      <c r="D4" s="12" t="s">
        <v>20</v>
      </c>
      <c r="E4" s="10">
        <v>3.0</v>
      </c>
      <c r="F4" s="14" t="s">
        <v>9</v>
      </c>
      <c r="G4" s="5" t="s">
        <v>21</v>
      </c>
      <c r="H4" s="10">
        <v>26.0</v>
      </c>
      <c r="I4" s="14" t="s">
        <v>9</v>
      </c>
      <c r="J4" s="5" t="s">
        <v>22</v>
      </c>
      <c r="K4" s="10" t="s">
        <v>345</v>
      </c>
      <c r="L4" s="14"/>
      <c r="M4" s="12" t="s">
        <v>23</v>
      </c>
      <c r="N4" s="10" t="s">
        <v>345</v>
      </c>
      <c r="O4" s="14"/>
      <c r="P4" s="12" t="s">
        <v>24</v>
      </c>
      <c r="Q4" s="10" t="s">
        <v>345</v>
      </c>
      <c r="R4" s="14"/>
      <c r="S4" s="12" t="s">
        <v>25</v>
      </c>
      <c r="T4" s="9"/>
      <c r="U4" s="9"/>
      <c r="V4" s="100" t="s">
        <v>190</v>
      </c>
      <c r="W4" s="101">
        <v>2.0</v>
      </c>
      <c r="X4" s="100"/>
      <c r="Y4" s="100" t="s">
        <v>50</v>
      </c>
      <c r="Z4" s="101">
        <v>0.0</v>
      </c>
    </row>
    <row r="5" ht="12.75" customHeight="1">
      <c r="A5" s="9"/>
      <c r="B5" s="10"/>
      <c r="C5" s="3"/>
      <c r="D5" s="9"/>
      <c r="E5" s="10"/>
      <c r="F5" s="3"/>
      <c r="G5" s="9"/>
      <c r="H5" s="10" t="s">
        <v>345</v>
      </c>
      <c r="I5" s="3"/>
      <c r="J5" s="9"/>
      <c r="K5" s="10"/>
      <c r="L5" s="3"/>
      <c r="M5" s="9"/>
      <c r="N5" s="10"/>
      <c r="O5" s="3"/>
      <c r="P5" s="9"/>
      <c r="Q5" s="10"/>
      <c r="R5" s="3"/>
      <c r="S5" s="9"/>
      <c r="T5" s="9"/>
      <c r="U5" s="9"/>
      <c r="V5" s="100" t="s">
        <v>196</v>
      </c>
      <c r="W5" s="101">
        <v>0.0</v>
      </c>
      <c r="X5" s="100"/>
      <c r="Y5" s="100" t="s">
        <v>57</v>
      </c>
      <c r="Z5" s="101">
        <v>3.0</v>
      </c>
    </row>
    <row r="6" ht="12.75" customHeight="1">
      <c r="A6" s="9" t="s">
        <v>26</v>
      </c>
      <c r="B6" s="10">
        <v>0.0</v>
      </c>
      <c r="C6" s="14" t="s">
        <v>9</v>
      </c>
      <c r="D6" s="1" t="s">
        <v>27</v>
      </c>
      <c r="E6" s="10">
        <v>3.0</v>
      </c>
      <c r="F6" s="14" t="s">
        <v>9</v>
      </c>
      <c r="G6" s="1" t="s">
        <v>28</v>
      </c>
      <c r="H6" s="10">
        <v>8.0</v>
      </c>
      <c r="I6" s="14" t="s">
        <v>9</v>
      </c>
      <c r="J6" s="5" t="s">
        <v>29</v>
      </c>
      <c r="K6" s="10">
        <v>4.0</v>
      </c>
      <c r="L6" s="14" t="s">
        <v>9</v>
      </c>
      <c r="M6" s="5" t="s">
        <v>30</v>
      </c>
      <c r="N6" s="10" t="s">
        <v>345</v>
      </c>
      <c r="O6" s="14"/>
      <c r="P6" s="9" t="s">
        <v>31</v>
      </c>
      <c r="Q6" s="10" t="s">
        <v>345</v>
      </c>
      <c r="R6" s="14"/>
      <c r="S6" s="12" t="s">
        <v>32</v>
      </c>
      <c r="T6" s="9"/>
      <c r="U6" s="9"/>
      <c r="V6" s="100" t="s">
        <v>208</v>
      </c>
      <c r="W6" s="101">
        <v>10.0</v>
      </c>
      <c r="X6" s="100"/>
      <c r="Y6" s="100" t="s">
        <v>63</v>
      </c>
      <c r="Z6" s="101">
        <v>0.0</v>
      </c>
    </row>
    <row r="7" ht="12.75" customHeight="1">
      <c r="A7" s="9"/>
      <c r="B7" s="10">
        <v>12.0</v>
      </c>
      <c r="C7" s="14" t="s">
        <v>9</v>
      </c>
      <c r="D7" s="5" t="s">
        <v>33</v>
      </c>
      <c r="E7" s="10">
        <v>2.0</v>
      </c>
      <c r="F7" s="14" t="s">
        <v>9</v>
      </c>
      <c r="G7" s="5" t="s">
        <v>34</v>
      </c>
      <c r="H7" s="10">
        <v>0.0</v>
      </c>
      <c r="I7" s="14" t="s">
        <v>9</v>
      </c>
      <c r="J7" s="5" t="s">
        <v>35</v>
      </c>
      <c r="K7" s="10" t="s">
        <v>345</v>
      </c>
      <c r="L7" s="14"/>
      <c r="M7" s="9" t="s">
        <v>36</v>
      </c>
      <c r="N7" s="10" t="s">
        <v>345</v>
      </c>
      <c r="O7" s="14"/>
      <c r="P7" s="12" t="s">
        <v>37</v>
      </c>
      <c r="Q7" s="10" t="s">
        <v>345</v>
      </c>
      <c r="R7" s="14"/>
      <c r="S7" s="12" t="s">
        <v>38</v>
      </c>
      <c r="T7" s="9"/>
      <c r="U7" s="9"/>
      <c r="V7" s="100" t="s">
        <v>220</v>
      </c>
      <c r="W7" s="101">
        <v>14.0</v>
      </c>
      <c r="X7" s="100"/>
      <c r="Y7" s="100" t="s">
        <v>82</v>
      </c>
      <c r="Z7" s="101">
        <v>6.0</v>
      </c>
    </row>
    <row r="8" ht="12.75" customHeight="1">
      <c r="A8" s="9"/>
      <c r="B8" s="10" t="s">
        <v>345</v>
      </c>
      <c r="C8" s="14"/>
      <c r="D8" s="12" t="s">
        <v>39</v>
      </c>
      <c r="E8" s="10" t="s">
        <v>345</v>
      </c>
      <c r="F8" s="14"/>
      <c r="G8" s="9" t="s">
        <v>351</v>
      </c>
      <c r="H8" s="10" t="s">
        <v>345</v>
      </c>
      <c r="I8" s="14"/>
      <c r="J8" s="9" t="s">
        <v>41</v>
      </c>
      <c r="K8" s="10" t="s">
        <v>345</v>
      </c>
      <c r="L8" s="14"/>
      <c r="M8" s="12" t="s">
        <v>42</v>
      </c>
      <c r="N8" s="10">
        <v>0.0</v>
      </c>
      <c r="O8" s="14" t="s">
        <v>9</v>
      </c>
      <c r="P8" s="15" t="s">
        <v>43</v>
      </c>
      <c r="Q8" s="10">
        <v>0.0</v>
      </c>
      <c r="R8" s="14" t="s">
        <v>9</v>
      </c>
      <c r="S8" s="4" t="s">
        <v>44</v>
      </c>
      <c r="T8" s="9"/>
      <c r="U8" s="9"/>
      <c r="V8" s="100" t="s">
        <v>238</v>
      </c>
      <c r="W8" s="101">
        <v>5.0</v>
      </c>
      <c r="X8" s="100"/>
      <c r="Y8" s="100" t="s">
        <v>108</v>
      </c>
      <c r="Z8" s="101">
        <v>7.0</v>
      </c>
    </row>
    <row r="9" ht="12.75" customHeight="1">
      <c r="A9" s="9"/>
      <c r="B9" s="10" t="s">
        <v>345</v>
      </c>
      <c r="C9" s="14"/>
      <c r="D9" s="12" t="s">
        <v>45</v>
      </c>
      <c r="E9" s="10" t="s">
        <v>345</v>
      </c>
      <c r="F9" s="14"/>
      <c r="G9" s="12" t="s">
        <v>46</v>
      </c>
      <c r="H9" s="10" t="s">
        <v>345</v>
      </c>
      <c r="I9" s="14"/>
      <c r="J9" s="12" t="s">
        <v>47</v>
      </c>
      <c r="K9" s="10">
        <v>0.0</v>
      </c>
      <c r="L9" s="14" t="s">
        <v>9</v>
      </c>
      <c r="M9" s="5" t="s">
        <v>48</v>
      </c>
      <c r="N9" s="10">
        <v>0.0</v>
      </c>
      <c r="O9" s="14" t="s">
        <v>9</v>
      </c>
      <c r="P9" s="15" t="s">
        <v>49</v>
      </c>
      <c r="Q9" s="10">
        <v>0.0</v>
      </c>
      <c r="R9" s="14" t="s">
        <v>9</v>
      </c>
      <c r="S9" s="5" t="s">
        <v>50</v>
      </c>
      <c r="T9" s="9"/>
      <c r="U9" s="9"/>
      <c r="V9" s="100" t="s">
        <v>256</v>
      </c>
      <c r="W9" s="101">
        <v>0.0</v>
      </c>
      <c r="X9" s="100"/>
      <c r="Y9" s="100" t="s">
        <v>121</v>
      </c>
      <c r="Z9" s="101">
        <v>2.0</v>
      </c>
    </row>
    <row r="10" ht="12.75" customHeight="1">
      <c r="A10" s="9"/>
      <c r="B10" s="10"/>
      <c r="C10" s="3"/>
      <c r="D10" s="9"/>
      <c r="E10" s="10"/>
      <c r="F10" s="3"/>
      <c r="G10" s="9"/>
      <c r="H10" s="10" t="s">
        <v>345</v>
      </c>
      <c r="I10" s="3"/>
      <c r="J10" s="9"/>
      <c r="K10" s="10"/>
      <c r="L10" s="3"/>
      <c r="M10" s="9"/>
      <c r="N10" s="10"/>
      <c r="O10" s="3"/>
      <c r="P10" s="9"/>
      <c r="Q10" s="10"/>
      <c r="R10" s="3"/>
      <c r="S10" s="9"/>
      <c r="T10" s="9"/>
      <c r="U10" s="9"/>
      <c r="V10" s="100" t="s">
        <v>262</v>
      </c>
      <c r="W10" s="101">
        <v>4.0</v>
      </c>
      <c r="X10" s="100"/>
      <c r="Y10" s="100" t="s">
        <v>128</v>
      </c>
      <c r="Z10" s="101">
        <v>4.0</v>
      </c>
    </row>
    <row r="11" ht="12.75" customHeight="1">
      <c r="A11" s="9" t="s">
        <v>51</v>
      </c>
      <c r="B11" s="10">
        <v>0.0</v>
      </c>
      <c r="C11" s="14" t="s">
        <v>9</v>
      </c>
      <c r="D11" s="1" t="s">
        <v>52</v>
      </c>
      <c r="E11" s="10">
        <v>0.0</v>
      </c>
      <c r="F11" s="14" t="s">
        <v>9</v>
      </c>
      <c r="G11" s="1" t="s">
        <v>53</v>
      </c>
      <c r="H11" s="10">
        <v>0.0</v>
      </c>
      <c r="I11" s="14" t="s">
        <v>9</v>
      </c>
      <c r="J11" s="1" t="s">
        <v>54</v>
      </c>
      <c r="K11" s="10">
        <v>2.0</v>
      </c>
      <c r="L11" s="14" t="s">
        <v>9</v>
      </c>
      <c r="M11" s="5" t="s">
        <v>55</v>
      </c>
      <c r="N11" s="10">
        <v>0.0</v>
      </c>
      <c r="O11" s="14" t="s">
        <v>9</v>
      </c>
      <c r="P11" s="1" t="s">
        <v>56</v>
      </c>
      <c r="Q11" s="10">
        <v>3.0</v>
      </c>
      <c r="R11" s="14" t="s">
        <v>9</v>
      </c>
      <c r="S11" s="5" t="s">
        <v>57</v>
      </c>
      <c r="T11" s="9"/>
      <c r="U11" s="9"/>
      <c r="V11" s="100"/>
      <c r="W11" s="101">
        <v>53.0</v>
      </c>
      <c r="X11" s="100"/>
      <c r="Y11" s="100"/>
      <c r="Z11" s="101">
        <v>32.0</v>
      </c>
    </row>
    <row r="12" ht="12.75" customHeight="1">
      <c r="A12" s="9"/>
      <c r="B12" s="10">
        <v>1.0</v>
      </c>
      <c r="C12" s="14" t="s">
        <v>9</v>
      </c>
      <c r="D12" s="1" t="s">
        <v>58</v>
      </c>
      <c r="E12" s="10">
        <v>8.0</v>
      </c>
      <c r="F12" s="14" t="s">
        <v>9</v>
      </c>
      <c r="G12" s="1" t="s">
        <v>59</v>
      </c>
      <c r="H12" s="10">
        <v>6.0</v>
      </c>
      <c r="I12" s="14" t="s">
        <v>9</v>
      </c>
      <c r="J12" s="5" t="s">
        <v>60</v>
      </c>
      <c r="K12" s="10" t="s">
        <v>345</v>
      </c>
      <c r="L12" s="14"/>
      <c r="M12" s="9" t="s">
        <v>61</v>
      </c>
      <c r="N12" s="10" t="s">
        <v>345</v>
      </c>
      <c r="O12" s="14"/>
      <c r="P12" s="9" t="s">
        <v>62</v>
      </c>
      <c r="Q12" s="10">
        <v>0.0</v>
      </c>
      <c r="R12" s="14" t="s">
        <v>9</v>
      </c>
      <c r="S12" s="1" t="s">
        <v>63</v>
      </c>
      <c r="T12" s="9"/>
      <c r="U12" s="9"/>
      <c r="V12" s="100"/>
      <c r="W12" s="101"/>
      <c r="X12" s="100"/>
      <c r="Y12" s="100"/>
      <c r="Z12" s="101"/>
    </row>
    <row r="13" ht="12.75" customHeight="1">
      <c r="A13" s="9"/>
      <c r="B13" s="10" t="s">
        <v>345</v>
      </c>
      <c r="C13" s="14"/>
      <c r="D13" s="12" t="s">
        <v>64</v>
      </c>
      <c r="E13" s="10" t="s">
        <v>345</v>
      </c>
      <c r="F13" s="14"/>
      <c r="G13" s="12" t="s">
        <v>65</v>
      </c>
      <c r="H13" s="10" t="s">
        <v>345</v>
      </c>
      <c r="I13" s="14"/>
      <c r="J13" s="12" t="s">
        <v>66</v>
      </c>
      <c r="K13" s="10" t="s">
        <v>345</v>
      </c>
      <c r="L13" s="14"/>
      <c r="M13" s="9" t="s">
        <v>67</v>
      </c>
      <c r="N13" s="10" t="s">
        <v>345</v>
      </c>
      <c r="O13" s="14"/>
      <c r="P13" s="12" t="s">
        <v>68</v>
      </c>
      <c r="Q13" s="10" t="s">
        <v>345</v>
      </c>
      <c r="R13" s="14"/>
      <c r="S13" s="17" t="s">
        <v>69</v>
      </c>
      <c r="T13" s="9"/>
      <c r="U13" s="9"/>
      <c r="V13" s="98" t="s">
        <v>322</v>
      </c>
      <c r="W13" s="99"/>
      <c r="X13" s="98"/>
      <c r="Y13" s="98" t="s">
        <v>319</v>
      </c>
      <c r="Z13" s="99"/>
    </row>
    <row r="14" ht="12.75" customHeight="1">
      <c r="A14" s="9"/>
      <c r="B14" s="10" t="s">
        <v>345</v>
      </c>
      <c r="C14" s="14"/>
      <c r="D14" s="12" t="s">
        <v>70</v>
      </c>
      <c r="E14" s="10" t="s">
        <v>345</v>
      </c>
      <c r="F14" s="14"/>
      <c r="G14" s="12" t="s">
        <v>71</v>
      </c>
      <c r="H14" s="10" t="s">
        <v>345</v>
      </c>
      <c r="I14" s="14"/>
      <c r="J14" s="12" t="s">
        <v>72</v>
      </c>
      <c r="K14" s="10">
        <v>0.0</v>
      </c>
      <c r="L14" s="14" t="s">
        <v>9</v>
      </c>
      <c r="M14" s="5" t="s">
        <v>73</v>
      </c>
      <c r="N14" s="10">
        <v>0.0</v>
      </c>
      <c r="O14" s="14" t="s">
        <v>9</v>
      </c>
      <c r="P14" s="5" t="s">
        <v>74</v>
      </c>
      <c r="Q14" s="10" t="s">
        <v>345</v>
      </c>
      <c r="R14" s="14"/>
      <c r="S14" s="12" t="s">
        <v>75</v>
      </c>
      <c r="T14" s="9"/>
      <c r="U14" s="9"/>
      <c r="V14" s="100" t="s">
        <v>12</v>
      </c>
      <c r="W14" s="101">
        <v>38.0</v>
      </c>
      <c r="X14" s="100"/>
      <c r="Y14" s="100" t="s">
        <v>21</v>
      </c>
      <c r="Z14" s="101">
        <v>3.0</v>
      </c>
    </row>
    <row r="15" ht="12.75" customHeight="1">
      <c r="A15" s="9"/>
      <c r="B15" s="10"/>
      <c r="C15" s="3"/>
      <c r="D15" s="9"/>
      <c r="E15" s="10"/>
      <c r="F15" s="3"/>
      <c r="G15" s="9"/>
      <c r="H15" s="10" t="s">
        <v>345</v>
      </c>
      <c r="I15" s="3"/>
      <c r="J15" s="9"/>
      <c r="K15" s="10"/>
      <c r="L15" s="3"/>
      <c r="M15" s="9"/>
      <c r="N15" s="10"/>
      <c r="O15" s="3"/>
      <c r="P15" s="9"/>
      <c r="Q15" s="10"/>
      <c r="R15" s="3"/>
      <c r="S15" s="9"/>
      <c r="T15" s="9"/>
      <c r="U15" s="9"/>
      <c r="V15" s="100" t="s">
        <v>43</v>
      </c>
      <c r="W15" s="101">
        <v>0.0</v>
      </c>
      <c r="X15" s="100"/>
      <c r="Y15" s="100" t="s">
        <v>28</v>
      </c>
      <c r="Z15" s="101">
        <v>3.0</v>
      </c>
    </row>
    <row r="16" ht="12.75" customHeight="1">
      <c r="A16" s="9" t="s">
        <v>76</v>
      </c>
      <c r="B16" s="10">
        <v>2.0</v>
      </c>
      <c r="C16" s="14" t="s">
        <v>9</v>
      </c>
      <c r="D16" s="1" t="s">
        <v>77</v>
      </c>
      <c r="E16" s="10" t="s">
        <v>345</v>
      </c>
      <c r="F16" s="14"/>
      <c r="G16" s="12" t="s">
        <v>78</v>
      </c>
      <c r="H16" s="10" t="s">
        <v>345</v>
      </c>
      <c r="I16" s="14"/>
      <c r="J16" s="9" t="s">
        <v>79</v>
      </c>
      <c r="K16" s="10">
        <v>9.0</v>
      </c>
      <c r="L16" s="14" t="s">
        <v>9</v>
      </c>
      <c r="M16" s="1" t="s">
        <v>80</v>
      </c>
      <c r="N16" s="10">
        <v>0.0</v>
      </c>
      <c r="O16" s="14" t="s">
        <v>9</v>
      </c>
      <c r="P16" s="5" t="s">
        <v>81</v>
      </c>
      <c r="Q16" s="10">
        <v>6.0</v>
      </c>
      <c r="R16" s="14" t="s">
        <v>9</v>
      </c>
      <c r="S16" s="1" t="s">
        <v>82</v>
      </c>
      <c r="T16" s="9"/>
      <c r="U16" s="9"/>
      <c r="V16" s="100" t="s">
        <v>49</v>
      </c>
      <c r="W16" s="101">
        <v>0.0</v>
      </c>
      <c r="X16" s="100"/>
      <c r="Y16" s="100" t="s">
        <v>34</v>
      </c>
      <c r="Z16" s="101">
        <v>2.0</v>
      </c>
    </row>
    <row r="17" ht="12.75" customHeight="1">
      <c r="A17" s="9"/>
      <c r="B17" s="10" t="s">
        <v>345</v>
      </c>
      <c r="C17" s="14"/>
      <c r="D17" s="12" t="s">
        <v>83</v>
      </c>
      <c r="E17" s="10" t="s">
        <v>345</v>
      </c>
      <c r="F17" s="14"/>
      <c r="G17" s="9" t="s">
        <v>84</v>
      </c>
      <c r="H17" s="10">
        <v>0.0</v>
      </c>
      <c r="I17" s="14" t="s">
        <v>9</v>
      </c>
      <c r="J17" s="1" t="s">
        <v>85</v>
      </c>
      <c r="K17" s="10" t="s">
        <v>345</v>
      </c>
      <c r="L17" s="14"/>
      <c r="M17" s="12" t="s">
        <v>86</v>
      </c>
      <c r="N17" s="10" t="s">
        <v>345</v>
      </c>
      <c r="O17" s="14"/>
      <c r="P17" s="9" t="s">
        <v>87</v>
      </c>
      <c r="Q17" s="10" t="s">
        <v>345</v>
      </c>
      <c r="R17" s="14"/>
      <c r="S17" s="12" t="s">
        <v>88</v>
      </c>
      <c r="T17" s="9"/>
      <c r="U17" s="9"/>
      <c r="V17" s="100" t="s">
        <v>56</v>
      </c>
      <c r="W17" s="101">
        <v>0.0</v>
      </c>
      <c r="X17" s="100"/>
      <c r="Y17" s="100" t="s">
        <v>53</v>
      </c>
      <c r="Z17" s="101">
        <v>0.0</v>
      </c>
    </row>
    <row r="18" ht="12.75" customHeight="1">
      <c r="A18" s="9"/>
      <c r="B18" s="10" t="s">
        <v>345</v>
      </c>
      <c r="C18" s="14"/>
      <c r="D18" s="12" t="s">
        <v>89</v>
      </c>
      <c r="E18" s="10">
        <v>0.0</v>
      </c>
      <c r="F18" s="14" t="s">
        <v>9</v>
      </c>
      <c r="G18" s="5" t="s">
        <v>90</v>
      </c>
      <c r="H18" s="10" t="s">
        <v>345</v>
      </c>
      <c r="I18" s="14"/>
      <c r="J18" s="12" t="s">
        <v>91</v>
      </c>
      <c r="K18" s="10" t="s">
        <v>345</v>
      </c>
      <c r="L18" s="14"/>
      <c r="M18" s="9" t="s">
        <v>92</v>
      </c>
      <c r="N18" s="10" t="s">
        <v>345</v>
      </c>
      <c r="O18" s="14"/>
      <c r="P18" s="12" t="s">
        <v>93</v>
      </c>
      <c r="Q18" s="10" t="s">
        <v>345</v>
      </c>
      <c r="R18" s="14"/>
      <c r="S18" s="12" t="s">
        <v>94</v>
      </c>
      <c r="T18" s="9"/>
      <c r="U18" s="9"/>
      <c r="V18" s="100" t="s">
        <v>74</v>
      </c>
      <c r="W18" s="101">
        <v>0.0</v>
      </c>
      <c r="X18" s="100"/>
      <c r="Y18" s="100" t="s">
        <v>59</v>
      </c>
      <c r="Z18" s="101">
        <v>8.0</v>
      </c>
    </row>
    <row r="19" ht="12.75" customHeight="1">
      <c r="A19" s="9"/>
      <c r="B19" s="10"/>
      <c r="C19" s="3"/>
      <c r="D19" s="9"/>
      <c r="E19" s="10"/>
      <c r="F19" s="3"/>
      <c r="G19" s="9"/>
      <c r="H19" s="10" t="s">
        <v>345</v>
      </c>
      <c r="I19" s="3"/>
      <c r="J19" s="9" t="s">
        <v>95</v>
      </c>
      <c r="K19" s="10"/>
      <c r="L19" s="3"/>
      <c r="M19" s="9"/>
      <c r="N19" s="10"/>
      <c r="O19" s="3"/>
      <c r="P19" s="9"/>
      <c r="Q19" s="10"/>
      <c r="R19" s="3"/>
      <c r="S19" s="9"/>
      <c r="T19" s="9"/>
      <c r="U19" s="9"/>
      <c r="V19" s="100" t="s">
        <v>81</v>
      </c>
      <c r="W19" s="101">
        <v>0.0</v>
      </c>
      <c r="X19" s="100"/>
      <c r="Y19" s="100" t="s">
        <v>90</v>
      </c>
      <c r="Z19" s="101">
        <v>0.0</v>
      </c>
    </row>
    <row r="20" ht="12.75" customHeight="1">
      <c r="A20" s="9" t="s">
        <v>96</v>
      </c>
      <c r="B20" s="10" t="s">
        <v>345</v>
      </c>
      <c r="C20" s="14"/>
      <c r="D20" s="12" t="s">
        <v>97</v>
      </c>
      <c r="E20" s="10">
        <v>8.0</v>
      </c>
      <c r="F20" s="14" t="s">
        <v>9</v>
      </c>
      <c r="G20" s="5" t="s">
        <v>98</v>
      </c>
      <c r="H20" s="10">
        <v>6.0</v>
      </c>
      <c r="I20" s="14" t="s">
        <v>9</v>
      </c>
      <c r="J20" s="1" t="s">
        <v>99</v>
      </c>
      <c r="K20" s="10">
        <v>7.0</v>
      </c>
      <c r="L20" s="14" t="s">
        <v>9</v>
      </c>
      <c r="M20" s="5" t="s">
        <v>100</v>
      </c>
      <c r="N20" s="10" t="s">
        <v>345</v>
      </c>
      <c r="O20" s="14"/>
      <c r="P20" s="9" t="s">
        <v>101</v>
      </c>
      <c r="Q20" s="10" t="s">
        <v>345</v>
      </c>
      <c r="R20" s="14"/>
      <c r="S20" s="12" t="s">
        <v>102</v>
      </c>
      <c r="T20" s="9"/>
      <c r="U20" s="9"/>
      <c r="V20" s="18" t="s">
        <v>107</v>
      </c>
      <c r="W20" s="101">
        <v>9.0</v>
      </c>
      <c r="X20" s="100"/>
      <c r="Y20" s="100" t="s">
        <v>98</v>
      </c>
      <c r="Z20" s="101">
        <v>8.0</v>
      </c>
    </row>
    <row r="21" ht="12.75" customHeight="1">
      <c r="A21" s="9"/>
      <c r="B21" s="10">
        <v>4.0</v>
      </c>
      <c r="C21" s="14" t="s">
        <v>9</v>
      </c>
      <c r="D21" s="1" t="s">
        <v>103</v>
      </c>
      <c r="E21" s="10" t="s">
        <v>345</v>
      </c>
      <c r="F21" s="14"/>
      <c r="G21" s="12" t="s">
        <v>104</v>
      </c>
      <c r="H21" s="10" t="s">
        <v>345</v>
      </c>
      <c r="I21" s="14"/>
      <c r="J21" s="18" t="s">
        <v>382</v>
      </c>
      <c r="K21" s="10" t="s">
        <v>345</v>
      </c>
      <c r="L21" s="14"/>
      <c r="M21" s="9" t="s">
        <v>106</v>
      </c>
      <c r="N21" s="10">
        <v>9.0</v>
      </c>
      <c r="O21" s="14" t="s">
        <v>9</v>
      </c>
      <c r="P21" s="4" t="s">
        <v>107</v>
      </c>
      <c r="Q21" s="10">
        <v>7.0</v>
      </c>
      <c r="R21" s="14" t="s">
        <v>9</v>
      </c>
      <c r="S21" s="1" t="s">
        <v>108</v>
      </c>
      <c r="T21" s="9"/>
      <c r="U21" s="9"/>
      <c r="V21" s="100" t="s">
        <v>120</v>
      </c>
      <c r="W21" s="101">
        <v>6.0</v>
      </c>
      <c r="X21" s="100"/>
      <c r="Y21" s="100" t="s">
        <v>111</v>
      </c>
      <c r="Z21" s="101">
        <v>9.0</v>
      </c>
    </row>
    <row r="22" ht="12.75" customHeight="1">
      <c r="A22" s="9"/>
      <c r="B22" s="10"/>
      <c r="C22" s="3"/>
      <c r="D22" s="9"/>
      <c r="E22" s="10"/>
      <c r="F22" s="3"/>
      <c r="G22" s="9"/>
      <c r="H22" s="10" t="s">
        <v>345</v>
      </c>
      <c r="I22" s="3"/>
      <c r="J22" s="9"/>
      <c r="K22" s="10"/>
      <c r="L22" s="3"/>
      <c r="M22" s="9"/>
      <c r="N22" s="10"/>
      <c r="O22" s="3"/>
      <c r="P22" s="9"/>
      <c r="Q22" s="10"/>
      <c r="R22" s="3"/>
      <c r="S22" s="9"/>
      <c r="T22" s="9"/>
      <c r="U22" s="9"/>
      <c r="V22" s="100" t="s">
        <v>133</v>
      </c>
      <c r="W22" s="101">
        <v>4.0</v>
      </c>
      <c r="X22" s="100"/>
      <c r="Y22" s="100" t="s">
        <v>130</v>
      </c>
      <c r="Z22" s="101">
        <v>5.0</v>
      </c>
    </row>
    <row r="23" ht="12.75" customHeight="1">
      <c r="A23" s="9" t="s">
        <v>109</v>
      </c>
      <c r="B23" s="10">
        <v>7.0</v>
      </c>
      <c r="C23" s="14" t="s">
        <v>9</v>
      </c>
      <c r="D23" s="1" t="s">
        <v>110</v>
      </c>
      <c r="E23" s="10">
        <v>9.0</v>
      </c>
      <c r="F23" s="14" t="s">
        <v>9</v>
      </c>
      <c r="G23" s="5" t="s">
        <v>111</v>
      </c>
      <c r="H23" s="10" t="s">
        <v>345</v>
      </c>
      <c r="I23" s="14"/>
      <c r="J23" s="9" t="s">
        <v>112</v>
      </c>
      <c r="K23" s="10">
        <v>8.0</v>
      </c>
      <c r="L23" s="14" t="s">
        <v>9</v>
      </c>
      <c r="M23" s="1" t="s">
        <v>113</v>
      </c>
      <c r="N23" s="10" t="s">
        <v>345</v>
      </c>
      <c r="O23" s="14"/>
      <c r="P23" s="9" t="s">
        <v>114</v>
      </c>
      <c r="Q23" s="10" t="s">
        <v>345</v>
      </c>
      <c r="R23" s="14"/>
      <c r="S23" s="12" t="s">
        <v>115</v>
      </c>
      <c r="T23" s="9"/>
      <c r="U23" s="9"/>
      <c r="V23" s="100"/>
      <c r="W23" s="101">
        <v>57.0</v>
      </c>
      <c r="X23" s="100"/>
      <c r="Y23" s="100"/>
      <c r="Z23" s="101">
        <v>38.0</v>
      </c>
    </row>
    <row r="24" ht="12.75" customHeight="1">
      <c r="A24" s="9"/>
      <c r="B24" s="10" t="s">
        <v>345</v>
      </c>
      <c r="C24" s="14"/>
      <c r="D24" s="9" t="s">
        <v>116</v>
      </c>
      <c r="E24" s="10" t="s">
        <v>345</v>
      </c>
      <c r="F24" s="14"/>
      <c r="G24" s="12" t="s">
        <v>117</v>
      </c>
      <c r="H24" s="10">
        <v>6.0</v>
      </c>
      <c r="I24" s="14" t="s">
        <v>9</v>
      </c>
      <c r="J24" s="1" t="s">
        <v>118</v>
      </c>
      <c r="K24" s="10" t="s">
        <v>345</v>
      </c>
      <c r="L24" s="14"/>
      <c r="M24" s="12" t="s">
        <v>119</v>
      </c>
      <c r="N24" s="10">
        <v>6.0</v>
      </c>
      <c r="O24" s="14" t="s">
        <v>9</v>
      </c>
      <c r="P24" s="1" t="s">
        <v>120</v>
      </c>
      <c r="Q24" s="10">
        <v>2.0</v>
      </c>
      <c r="R24" s="14" t="s">
        <v>9</v>
      </c>
      <c r="S24" s="5" t="s">
        <v>121</v>
      </c>
      <c r="T24" s="9"/>
      <c r="U24" s="9"/>
      <c r="V24" s="100"/>
      <c r="W24" s="101"/>
      <c r="X24" s="100"/>
      <c r="Y24" s="100"/>
      <c r="Z24" s="101"/>
    </row>
    <row r="25" ht="12.75" customHeight="1">
      <c r="A25" s="9"/>
      <c r="B25" s="10"/>
      <c r="C25" s="3"/>
      <c r="D25" s="9"/>
      <c r="E25" s="10"/>
      <c r="F25" s="3"/>
      <c r="G25" s="9"/>
      <c r="H25" s="10" t="s">
        <v>345</v>
      </c>
      <c r="I25" s="3"/>
      <c r="J25" s="9"/>
      <c r="K25" s="10"/>
      <c r="L25" s="3"/>
      <c r="M25" s="9"/>
      <c r="N25" s="10"/>
      <c r="O25" s="3"/>
      <c r="P25" s="9"/>
      <c r="Q25" s="10"/>
      <c r="R25" s="3"/>
      <c r="S25" s="9"/>
      <c r="T25" s="9"/>
      <c r="U25" s="9"/>
      <c r="V25" s="98" t="s">
        <v>302</v>
      </c>
      <c r="W25" s="99"/>
      <c r="X25" s="98"/>
      <c r="Y25" s="98" t="s">
        <v>325</v>
      </c>
      <c r="Z25" s="99"/>
    </row>
    <row r="26" ht="12.75" customHeight="1">
      <c r="A26" s="9" t="s">
        <v>122</v>
      </c>
      <c r="B26" s="10" t="s">
        <v>345</v>
      </c>
      <c r="C26" s="14"/>
      <c r="D26" s="12" t="s">
        <v>123</v>
      </c>
      <c r="E26" s="10" t="s">
        <v>345</v>
      </c>
      <c r="F26" s="14"/>
      <c r="G26" s="12" t="s">
        <v>124</v>
      </c>
      <c r="H26" s="10">
        <v>5.0</v>
      </c>
      <c r="I26" s="14" t="s">
        <v>9</v>
      </c>
      <c r="J26" s="1" t="s">
        <v>125</v>
      </c>
      <c r="K26" s="10">
        <v>5.0</v>
      </c>
      <c r="L26" s="14" t="s">
        <v>9</v>
      </c>
      <c r="M26" s="1" t="s">
        <v>126</v>
      </c>
      <c r="N26" s="10" t="s">
        <v>345</v>
      </c>
      <c r="O26" s="14"/>
      <c r="P26" s="9" t="s">
        <v>127</v>
      </c>
      <c r="Q26" s="10">
        <v>4.0</v>
      </c>
      <c r="R26" s="14" t="s">
        <v>9</v>
      </c>
      <c r="S26" s="5" t="s">
        <v>128</v>
      </c>
      <c r="T26" s="9"/>
      <c r="U26" s="9"/>
      <c r="V26" s="100" t="s">
        <v>7</v>
      </c>
      <c r="W26" s="101">
        <v>0.0</v>
      </c>
      <c r="X26" s="100"/>
      <c r="Y26" s="100" t="s">
        <v>152</v>
      </c>
      <c r="Z26" s="101">
        <v>11.0</v>
      </c>
    </row>
    <row r="27" ht="12.75" customHeight="1">
      <c r="A27" s="9"/>
      <c r="B27" s="10">
        <v>7.0</v>
      </c>
      <c r="C27" s="14" t="s">
        <v>9</v>
      </c>
      <c r="D27" s="1" t="s">
        <v>129</v>
      </c>
      <c r="E27" s="10">
        <v>5.0</v>
      </c>
      <c r="F27" s="14" t="s">
        <v>9</v>
      </c>
      <c r="G27" s="1" t="s">
        <v>130</v>
      </c>
      <c r="H27" s="10" t="s">
        <v>345</v>
      </c>
      <c r="I27" s="14"/>
      <c r="J27" s="12" t="s">
        <v>131</v>
      </c>
      <c r="K27" s="10" t="s">
        <v>345</v>
      </c>
      <c r="L27" s="14"/>
      <c r="M27" s="9" t="s">
        <v>132</v>
      </c>
      <c r="N27" s="10">
        <v>4.0</v>
      </c>
      <c r="O27" s="14" t="s">
        <v>9</v>
      </c>
      <c r="P27" s="5" t="s">
        <v>133</v>
      </c>
      <c r="Q27" s="10" t="s">
        <v>345</v>
      </c>
      <c r="R27" s="14"/>
      <c r="S27" s="9" t="s">
        <v>134</v>
      </c>
      <c r="T27" s="9"/>
      <c r="U27" s="9"/>
      <c r="V27" s="100" t="s">
        <v>27</v>
      </c>
      <c r="W27" s="101">
        <v>0.0</v>
      </c>
      <c r="X27" s="100"/>
      <c r="Y27" s="100" t="s">
        <v>170</v>
      </c>
      <c r="Z27" s="101">
        <v>20.0</v>
      </c>
    </row>
    <row r="28" ht="12.75" customHeight="1">
      <c r="A28" s="9"/>
      <c r="B28" s="2"/>
      <c r="C28" s="3"/>
      <c r="D28" s="9"/>
      <c r="E28" s="10"/>
      <c r="F28" s="3"/>
      <c r="G28" s="9"/>
      <c r="H28" s="10"/>
      <c r="I28" s="3"/>
      <c r="J28" s="9"/>
      <c r="K28" s="10"/>
      <c r="L28" s="3"/>
      <c r="M28" s="9"/>
      <c r="N28" s="10"/>
      <c r="O28" s="3"/>
      <c r="P28" s="12" t="s">
        <v>95</v>
      </c>
      <c r="Q28" s="10"/>
      <c r="R28" s="3"/>
      <c r="S28" s="9"/>
      <c r="T28" s="9"/>
      <c r="U28" s="9"/>
      <c r="V28" s="100" t="s">
        <v>33</v>
      </c>
      <c r="W28" s="101">
        <v>12.0</v>
      </c>
      <c r="X28" s="100"/>
      <c r="Y28" s="100" t="s">
        <v>176</v>
      </c>
      <c r="Z28" s="101">
        <v>8.0</v>
      </c>
    </row>
    <row r="29" ht="12.75" customHeight="1">
      <c r="A29" s="19"/>
      <c r="B29" s="20"/>
      <c r="C29" s="21"/>
      <c r="D29" s="22">
        <v>33.0</v>
      </c>
      <c r="E29" s="20"/>
      <c r="F29" s="21"/>
      <c r="G29" s="22">
        <v>38.0</v>
      </c>
      <c r="H29" s="20"/>
      <c r="I29" s="21"/>
      <c r="J29" s="23">
        <v>57.0</v>
      </c>
      <c r="K29" s="20"/>
      <c r="L29" s="21"/>
      <c r="M29" s="22">
        <v>41.0</v>
      </c>
      <c r="N29" s="20"/>
      <c r="O29" s="21"/>
      <c r="P29" s="22">
        <v>57.0</v>
      </c>
      <c r="Q29" s="20"/>
      <c r="R29" s="21"/>
      <c r="S29" s="22">
        <v>32.0</v>
      </c>
      <c r="T29" s="19"/>
      <c r="U29" s="19"/>
      <c r="V29" s="100" t="s">
        <v>52</v>
      </c>
      <c r="W29" s="101">
        <v>0.0</v>
      </c>
      <c r="X29" s="100"/>
      <c r="Y29" s="100" t="s">
        <v>194</v>
      </c>
      <c r="Z29" s="101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6"/>
      <c r="S30" s="9"/>
      <c r="T30" s="9"/>
      <c r="U30" s="9"/>
      <c r="V30" s="100" t="s">
        <v>58</v>
      </c>
      <c r="W30" s="101">
        <v>1.0</v>
      </c>
      <c r="X30" s="100"/>
      <c r="Y30" s="100" t="s">
        <v>200</v>
      </c>
      <c r="Z30" s="101">
        <v>0.0</v>
      </c>
    </row>
    <row r="31" ht="12.75" customHeight="1">
      <c r="A31" s="9" t="s">
        <v>135</v>
      </c>
      <c r="B31" s="2"/>
      <c r="C31" s="3"/>
      <c r="D31" s="9" t="s">
        <v>136</v>
      </c>
      <c r="E31" s="2"/>
      <c r="F31" s="6"/>
      <c r="G31" s="9" t="s">
        <v>137</v>
      </c>
      <c r="H31" s="2"/>
      <c r="I31" s="6"/>
      <c r="J31" s="9" t="s">
        <v>138</v>
      </c>
      <c r="K31" s="2"/>
      <c r="L31" s="6"/>
      <c r="M31" s="9" t="s">
        <v>139</v>
      </c>
      <c r="N31" s="2"/>
      <c r="O31" s="6"/>
      <c r="P31" s="9" t="s">
        <v>140</v>
      </c>
      <c r="Q31" s="2"/>
      <c r="R31" s="6"/>
      <c r="S31" s="9" t="s">
        <v>141</v>
      </c>
      <c r="T31" s="9"/>
      <c r="U31" s="9"/>
      <c r="V31" s="100" t="s">
        <v>77</v>
      </c>
      <c r="W31" s="101">
        <v>2.0</v>
      </c>
      <c r="X31" s="100"/>
      <c r="Y31" s="100" t="s">
        <v>218</v>
      </c>
      <c r="Z31" s="101">
        <v>10.0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142</v>
      </c>
      <c r="Q32" s="2"/>
      <c r="R32" s="6"/>
      <c r="S32" s="9"/>
      <c r="T32" s="9"/>
      <c r="U32" s="9"/>
      <c r="V32" s="100" t="s">
        <v>103</v>
      </c>
      <c r="W32" s="101">
        <v>4.0</v>
      </c>
      <c r="X32" s="100"/>
      <c r="Y32" s="100" t="s">
        <v>242</v>
      </c>
      <c r="Z32" s="101">
        <v>8.0</v>
      </c>
    </row>
    <row r="33" ht="12.75" customHeight="1">
      <c r="A33" s="9"/>
      <c r="B33" s="2"/>
      <c r="C33" s="3"/>
      <c r="D33" s="25"/>
      <c r="E33" s="26"/>
      <c r="F33" s="26"/>
      <c r="G33" s="25"/>
      <c r="H33" s="26"/>
      <c r="I33" s="26"/>
      <c r="J33" s="25"/>
      <c r="K33" s="25"/>
      <c r="L33" s="26"/>
      <c r="M33" s="25"/>
      <c r="P33" s="25"/>
      <c r="R33" s="3"/>
      <c r="S33" s="25"/>
      <c r="T33" s="6"/>
      <c r="U33" s="26"/>
      <c r="V33" s="103" t="s">
        <v>110</v>
      </c>
      <c r="W33" s="101">
        <v>7.0</v>
      </c>
      <c r="X33" s="100"/>
      <c r="Y33" s="100" t="s">
        <v>248</v>
      </c>
      <c r="Z33" s="101">
        <v>6.0</v>
      </c>
    </row>
    <row r="34" ht="12.75" customHeight="1">
      <c r="A34" s="9" t="s">
        <v>143</v>
      </c>
      <c r="B34" s="9"/>
      <c r="C34" s="3"/>
      <c r="D34" s="25"/>
      <c r="E34" s="26"/>
      <c r="F34" s="26"/>
      <c r="G34" s="25"/>
      <c r="H34" s="26"/>
      <c r="I34" s="26"/>
      <c r="J34" s="25"/>
      <c r="K34" s="25"/>
      <c r="L34" s="26"/>
      <c r="M34" s="25"/>
      <c r="P34" s="25"/>
      <c r="R34" s="3"/>
      <c r="S34" s="25"/>
      <c r="T34" s="6"/>
      <c r="U34" s="26"/>
      <c r="V34" s="103" t="s">
        <v>129</v>
      </c>
      <c r="W34" s="101">
        <v>7.0</v>
      </c>
      <c r="X34" s="100"/>
      <c r="Y34" s="100" t="s">
        <v>260</v>
      </c>
      <c r="Z34" s="101">
        <v>0.0</v>
      </c>
    </row>
    <row r="35" ht="12.75" customHeight="1">
      <c r="A35" s="9"/>
      <c r="B35" s="9"/>
      <c r="C35" s="3"/>
      <c r="D35" s="12"/>
      <c r="E35" s="26"/>
      <c r="F35" s="26"/>
      <c r="G35" s="12"/>
      <c r="H35" s="26"/>
      <c r="I35" s="26"/>
      <c r="J35" s="25"/>
      <c r="K35" s="25"/>
      <c r="L35" s="26"/>
      <c r="M35" s="25"/>
      <c r="P35" s="25"/>
      <c r="R35" s="3"/>
      <c r="S35" s="25"/>
      <c r="T35" s="6"/>
      <c r="U35" s="9"/>
      <c r="V35" s="103"/>
      <c r="W35" s="101">
        <v>33.0</v>
      </c>
      <c r="X35" s="100"/>
      <c r="Y35" s="100"/>
      <c r="Z35" s="101">
        <v>63.0</v>
      </c>
    </row>
    <row r="36" ht="12.75" customHeight="1">
      <c r="A36" s="9"/>
      <c r="B36" s="2"/>
      <c r="C36" s="3"/>
      <c r="D36" s="12"/>
      <c r="E36" s="2"/>
      <c r="F36" s="6"/>
      <c r="G36" s="12"/>
      <c r="H36" s="2"/>
      <c r="I36" s="6"/>
      <c r="J36" s="25"/>
      <c r="K36" s="9"/>
      <c r="L36" s="6"/>
      <c r="M36" s="25"/>
      <c r="N36" s="26"/>
      <c r="O36" s="26"/>
      <c r="P36" s="25"/>
      <c r="Q36" s="26"/>
      <c r="R36" s="3"/>
      <c r="S36" s="25"/>
      <c r="T36" s="6"/>
      <c r="U36" s="6"/>
      <c r="V36" s="100"/>
      <c r="W36" s="101"/>
      <c r="X36" s="100"/>
      <c r="Y36" s="100"/>
      <c r="Z36" s="101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6"/>
      <c r="S37" s="9"/>
      <c r="T37" s="9"/>
      <c r="U37" s="9"/>
      <c r="V37" s="98" t="s">
        <v>321</v>
      </c>
      <c r="W37" s="99"/>
      <c r="X37" s="98"/>
      <c r="Y37" s="98" t="s">
        <v>328</v>
      </c>
      <c r="Z37" s="99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6"/>
      <c r="S38" s="9"/>
      <c r="T38" s="9"/>
      <c r="U38" s="9"/>
      <c r="V38" s="100" t="s">
        <v>11</v>
      </c>
      <c r="W38" s="101">
        <v>6.0</v>
      </c>
      <c r="X38" s="100"/>
      <c r="Y38" s="100" t="s">
        <v>155</v>
      </c>
      <c r="Z38" s="101">
        <v>8.0</v>
      </c>
    </row>
    <row r="39" ht="12.75" customHeight="1">
      <c r="A39" s="1" t="s">
        <v>144</v>
      </c>
      <c r="B39" s="2"/>
      <c r="C39" s="3"/>
      <c r="D39" s="5" t="s">
        <v>145</v>
      </c>
      <c r="E39" s="2"/>
      <c r="F39" s="1"/>
      <c r="G39" s="5" t="s">
        <v>146</v>
      </c>
      <c r="H39" s="2"/>
      <c r="I39" s="1"/>
      <c r="J39" s="5" t="s">
        <v>147</v>
      </c>
      <c r="K39" s="2"/>
      <c r="L39" s="1"/>
      <c r="M39" s="5" t="s">
        <v>148</v>
      </c>
      <c r="N39" s="2"/>
      <c r="O39" s="1"/>
      <c r="P39" s="5" t="s">
        <v>149</v>
      </c>
      <c r="Q39" s="2"/>
      <c r="R39" s="6"/>
      <c r="S39" s="5" t="s">
        <v>150</v>
      </c>
      <c r="T39" s="1"/>
      <c r="U39" s="1"/>
      <c r="V39" s="100" t="s">
        <v>30</v>
      </c>
      <c r="W39" s="101">
        <v>4.0</v>
      </c>
      <c r="X39" s="100"/>
      <c r="Y39" s="100" t="s">
        <v>173</v>
      </c>
      <c r="Z39" s="101">
        <v>3.0</v>
      </c>
    </row>
    <row r="40" ht="12.75" customHeight="1">
      <c r="A40" s="9" t="s">
        <v>6</v>
      </c>
      <c r="B40" s="10" t="s">
        <v>345</v>
      </c>
      <c r="C40" s="14"/>
      <c r="D40" s="9" t="s">
        <v>151</v>
      </c>
      <c r="E40" s="10">
        <v>11.0</v>
      </c>
      <c r="F40" s="14" t="s">
        <v>9</v>
      </c>
      <c r="G40" s="1" t="s">
        <v>152</v>
      </c>
      <c r="H40" s="10" t="s">
        <v>345</v>
      </c>
      <c r="I40" s="14"/>
      <c r="J40" s="9" t="s">
        <v>153</v>
      </c>
      <c r="K40" s="10" t="s">
        <v>345</v>
      </c>
      <c r="L40" s="14"/>
      <c r="M40" s="9" t="s">
        <v>154</v>
      </c>
      <c r="N40" s="10">
        <v>8.0</v>
      </c>
      <c r="O40" s="14" t="s">
        <v>9</v>
      </c>
      <c r="P40" s="1" t="s">
        <v>155</v>
      </c>
      <c r="Q40" s="10" t="s">
        <v>345</v>
      </c>
      <c r="R40" s="14"/>
      <c r="S40" s="9" t="s">
        <v>156</v>
      </c>
      <c r="T40" s="9"/>
      <c r="U40" s="9"/>
      <c r="V40" s="100" t="s">
        <v>48</v>
      </c>
      <c r="W40" s="101">
        <v>0.0</v>
      </c>
      <c r="X40" s="100"/>
      <c r="Y40" s="18" t="s">
        <v>185</v>
      </c>
      <c r="Z40" s="101">
        <v>0.0</v>
      </c>
    </row>
    <row r="41" ht="12.75" customHeight="1">
      <c r="A41" s="9"/>
      <c r="B41" s="10">
        <v>6.0</v>
      </c>
      <c r="C41" s="14" t="s">
        <v>9</v>
      </c>
      <c r="D41" s="1" t="s">
        <v>157</v>
      </c>
      <c r="E41" s="10" t="s">
        <v>345</v>
      </c>
      <c r="F41" s="14"/>
      <c r="G41" s="9" t="s">
        <v>158</v>
      </c>
      <c r="H41" s="10">
        <v>0.0</v>
      </c>
      <c r="I41" s="14" t="s">
        <v>9</v>
      </c>
      <c r="J41" s="5" t="s">
        <v>159</v>
      </c>
      <c r="K41" s="10">
        <v>9.0</v>
      </c>
      <c r="L41" s="14" t="s">
        <v>9</v>
      </c>
      <c r="M41" s="1" t="s">
        <v>160</v>
      </c>
      <c r="N41" s="10" t="s">
        <v>345</v>
      </c>
      <c r="O41" s="14"/>
      <c r="P41" s="12" t="s">
        <v>161</v>
      </c>
      <c r="Q41" s="10">
        <v>8.0</v>
      </c>
      <c r="R41" s="14" t="s">
        <v>9</v>
      </c>
      <c r="S41" s="1" t="s">
        <v>162</v>
      </c>
      <c r="T41" s="9"/>
      <c r="U41" s="9"/>
      <c r="V41" s="100" t="s">
        <v>55</v>
      </c>
      <c r="W41" s="101">
        <v>2.0</v>
      </c>
      <c r="X41" s="100"/>
      <c r="Y41" s="100" t="s">
        <v>203</v>
      </c>
      <c r="Z41" s="101">
        <v>6.0</v>
      </c>
    </row>
    <row r="42" ht="12.75" customHeight="1">
      <c r="A42" s="9"/>
      <c r="B42" s="10" t="s">
        <v>345</v>
      </c>
      <c r="C42" s="14"/>
      <c r="D42" s="12" t="s">
        <v>163</v>
      </c>
      <c r="E42" s="10" t="s">
        <v>345</v>
      </c>
      <c r="F42" s="14"/>
      <c r="G42" s="12" t="s">
        <v>164</v>
      </c>
      <c r="H42" s="10" t="s">
        <v>345</v>
      </c>
      <c r="I42" s="14"/>
      <c r="J42" s="12" t="s">
        <v>165</v>
      </c>
      <c r="K42" s="10" t="s">
        <v>345</v>
      </c>
      <c r="L42" s="14"/>
      <c r="M42" s="12" t="s">
        <v>166</v>
      </c>
      <c r="N42" s="10" t="s">
        <v>345</v>
      </c>
      <c r="O42" s="14"/>
      <c r="P42" s="12" t="s">
        <v>167</v>
      </c>
      <c r="Q42" s="10" t="s">
        <v>345</v>
      </c>
      <c r="R42" s="14"/>
      <c r="S42" s="12" t="s">
        <v>168</v>
      </c>
      <c r="T42" s="9"/>
      <c r="U42" s="9"/>
      <c r="V42" s="100" t="s">
        <v>73</v>
      </c>
      <c r="W42" s="101">
        <v>0.0</v>
      </c>
      <c r="X42" s="100"/>
      <c r="Y42" s="100" t="s">
        <v>209</v>
      </c>
      <c r="Z42" s="101">
        <v>0.0</v>
      </c>
    </row>
    <row r="43" ht="12.75" customHeight="1">
      <c r="A43" s="9"/>
      <c r="B43" s="10"/>
      <c r="C43" s="3"/>
      <c r="D43" s="9"/>
      <c r="E43" s="10"/>
      <c r="F43" s="3"/>
      <c r="G43" s="9"/>
      <c r="H43" s="10"/>
      <c r="I43" s="3"/>
      <c r="J43" s="9"/>
      <c r="K43" s="10"/>
      <c r="L43" s="3"/>
      <c r="M43" s="9"/>
      <c r="N43" s="10"/>
      <c r="O43" s="3"/>
      <c r="P43" s="9"/>
      <c r="Q43" s="10"/>
      <c r="R43" s="3"/>
      <c r="S43" s="9"/>
      <c r="T43" s="9"/>
      <c r="U43" s="9"/>
      <c r="V43" s="100" t="s">
        <v>80</v>
      </c>
      <c r="W43" s="101">
        <v>9.0</v>
      </c>
      <c r="X43" s="100"/>
      <c r="Y43" s="100" t="s">
        <v>221</v>
      </c>
      <c r="Z43" s="101">
        <v>6.0</v>
      </c>
    </row>
    <row r="44" ht="12.75" customHeight="1">
      <c r="A44" s="9" t="s">
        <v>26</v>
      </c>
      <c r="B44" s="10">
        <v>18.0</v>
      </c>
      <c r="C44" s="14" t="s">
        <v>9</v>
      </c>
      <c r="D44" s="1" t="s">
        <v>169</v>
      </c>
      <c r="E44" s="10">
        <v>20.0</v>
      </c>
      <c r="F44" s="14" t="s">
        <v>9</v>
      </c>
      <c r="G44" s="1" t="s">
        <v>170</v>
      </c>
      <c r="H44" s="10">
        <v>15.0</v>
      </c>
      <c r="I44" s="14" t="s">
        <v>9</v>
      </c>
      <c r="J44" s="1" t="s">
        <v>171</v>
      </c>
      <c r="K44" s="10" t="s">
        <v>345</v>
      </c>
      <c r="L44" s="14"/>
      <c r="M44" s="9" t="s">
        <v>172</v>
      </c>
      <c r="N44" s="10">
        <v>3.0</v>
      </c>
      <c r="O44" s="14" t="s">
        <v>9</v>
      </c>
      <c r="P44" s="5" t="s">
        <v>173</v>
      </c>
      <c r="Q44" s="10">
        <v>2.0</v>
      </c>
      <c r="R44" s="14" t="s">
        <v>9</v>
      </c>
      <c r="S44" s="1" t="s">
        <v>174</v>
      </c>
      <c r="T44" s="9"/>
      <c r="U44" s="9"/>
      <c r="V44" s="100" t="s">
        <v>100</v>
      </c>
      <c r="W44" s="101">
        <v>7.0</v>
      </c>
      <c r="X44" s="100"/>
      <c r="Y44" s="100" t="s">
        <v>245</v>
      </c>
      <c r="Z44" s="101">
        <v>0.0</v>
      </c>
    </row>
    <row r="45" ht="12.75" customHeight="1">
      <c r="A45" s="9"/>
      <c r="B45" s="10" t="s">
        <v>345</v>
      </c>
      <c r="C45" s="14"/>
      <c r="D45" s="9" t="s">
        <v>175</v>
      </c>
      <c r="E45" s="10">
        <v>8.0</v>
      </c>
      <c r="F45" s="14" t="s">
        <v>9</v>
      </c>
      <c r="G45" s="1" t="s">
        <v>176</v>
      </c>
      <c r="H45" s="10" t="s">
        <v>345</v>
      </c>
      <c r="I45" s="14"/>
      <c r="J45" s="12" t="s">
        <v>177</v>
      </c>
      <c r="K45" s="10">
        <v>9.0</v>
      </c>
      <c r="L45" s="14" t="s">
        <v>9</v>
      </c>
      <c r="M45" s="1" t="s">
        <v>178</v>
      </c>
      <c r="N45" s="10" t="s">
        <v>345</v>
      </c>
      <c r="O45" s="14"/>
      <c r="P45" s="9" t="s">
        <v>179</v>
      </c>
      <c r="Q45" s="10">
        <v>0.0</v>
      </c>
      <c r="R45" s="14" t="s">
        <v>9</v>
      </c>
      <c r="S45" s="1" t="s">
        <v>180</v>
      </c>
      <c r="T45" s="9"/>
      <c r="U45" s="9"/>
      <c r="V45" s="100" t="s">
        <v>113</v>
      </c>
      <c r="W45" s="101">
        <v>8.0</v>
      </c>
      <c r="X45" s="100"/>
      <c r="Y45" s="100" t="s">
        <v>257</v>
      </c>
      <c r="Z45" s="101">
        <v>15.0</v>
      </c>
    </row>
    <row r="46" ht="12.75" customHeight="1">
      <c r="A46" s="9"/>
      <c r="B46" s="10" t="s">
        <v>345</v>
      </c>
      <c r="C46" s="14"/>
      <c r="D46" s="12" t="s">
        <v>181</v>
      </c>
      <c r="E46" s="10" t="s">
        <v>345</v>
      </c>
      <c r="F46" s="14"/>
      <c r="G46" s="9" t="s">
        <v>182</v>
      </c>
      <c r="H46" s="10">
        <v>8.0</v>
      </c>
      <c r="I46" s="14" t="s">
        <v>9</v>
      </c>
      <c r="J46" s="5" t="s">
        <v>183</v>
      </c>
      <c r="K46" s="10" t="s">
        <v>345</v>
      </c>
      <c r="L46" s="14"/>
      <c r="M46" s="12" t="s">
        <v>184</v>
      </c>
      <c r="N46" s="10">
        <v>0.0</v>
      </c>
      <c r="O46" s="14" t="s">
        <v>9</v>
      </c>
      <c r="P46" s="4" t="s">
        <v>185</v>
      </c>
      <c r="Q46" s="10" t="s">
        <v>345</v>
      </c>
      <c r="R46" s="14"/>
      <c r="S46" s="12" t="s">
        <v>186</v>
      </c>
      <c r="T46" s="9"/>
      <c r="U46" s="9"/>
      <c r="V46" s="100" t="s">
        <v>126</v>
      </c>
      <c r="W46" s="101">
        <v>5.0</v>
      </c>
      <c r="X46" s="100"/>
      <c r="Y46" s="100" t="s">
        <v>269</v>
      </c>
      <c r="Z46" s="101">
        <v>0.0</v>
      </c>
    </row>
    <row r="47" ht="12.75" customHeight="1">
      <c r="A47" s="9"/>
      <c r="B47" s="10">
        <v>2.0</v>
      </c>
      <c r="C47" s="14" t="s">
        <v>9</v>
      </c>
      <c r="D47" s="5" t="s">
        <v>187</v>
      </c>
      <c r="E47" s="10" t="s">
        <v>345</v>
      </c>
      <c r="F47" s="14"/>
      <c r="G47" s="12" t="s">
        <v>188</v>
      </c>
      <c r="H47" s="10" t="s">
        <v>345</v>
      </c>
      <c r="I47" s="14"/>
      <c r="J47" s="12" t="s">
        <v>189</v>
      </c>
      <c r="K47" s="10">
        <v>2.0</v>
      </c>
      <c r="L47" s="14" t="s">
        <v>9</v>
      </c>
      <c r="M47" s="5" t="s">
        <v>190</v>
      </c>
      <c r="N47" s="10" t="s">
        <v>345</v>
      </c>
      <c r="O47" s="14"/>
      <c r="P47" s="12" t="s">
        <v>191</v>
      </c>
      <c r="Q47" s="10" t="s">
        <v>345</v>
      </c>
      <c r="R47" s="14"/>
      <c r="S47" s="9" t="s">
        <v>192</v>
      </c>
      <c r="T47" s="9"/>
      <c r="U47" s="9"/>
      <c r="V47" s="100"/>
      <c r="W47" s="101">
        <v>41.0</v>
      </c>
      <c r="X47" s="100"/>
      <c r="Y47" s="100"/>
      <c r="Z47" s="101">
        <v>38.0</v>
      </c>
    </row>
    <row r="48" ht="12.75" customHeight="1">
      <c r="A48" s="9"/>
      <c r="B48" s="10"/>
      <c r="C48" s="3"/>
      <c r="D48" s="9"/>
      <c r="E48" s="10"/>
      <c r="F48" s="3"/>
      <c r="G48" s="9"/>
      <c r="H48" s="10"/>
      <c r="I48" s="3"/>
      <c r="J48" s="9"/>
      <c r="K48" s="10"/>
      <c r="L48" s="3"/>
      <c r="M48" s="9"/>
      <c r="N48" s="10"/>
      <c r="O48" s="3"/>
      <c r="P48" s="9"/>
      <c r="Q48" s="10"/>
      <c r="R48" s="3"/>
      <c r="S48" s="9"/>
      <c r="T48" s="9"/>
      <c r="U48" s="9"/>
      <c r="V48" s="100"/>
      <c r="W48" s="101"/>
      <c r="X48" s="100"/>
      <c r="Y48" s="100"/>
      <c r="Z48" s="101"/>
    </row>
    <row r="49" ht="12.75" customHeight="1">
      <c r="A49" s="9" t="s">
        <v>51</v>
      </c>
      <c r="B49" s="10">
        <v>8.0</v>
      </c>
      <c r="C49" s="14" t="s">
        <v>9</v>
      </c>
      <c r="D49" s="1" t="s">
        <v>193</v>
      </c>
      <c r="E49" s="10">
        <v>0.0</v>
      </c>
      <c r="F49" s="14" t="s">
        <v>9</v>
      </c>
      <c r="G49" s="1" t="s">
        <v>194</v>
      </c>
      <c r="H49" s="10" t="s">
        <v>345</v>
      </c>
      <c r="I49" s="14"/>
      <c r="J49" s="9" t="s">
        <v>364</v>
      </c>
      <c r="K49" s="10">
        <v>0.0</v>
      </c>
      <c r="L49" s="14" t="s">
        <v>9</v>
      </c>
      <c r="M49" s="1" t="s">
        <v>196</v>
      </c>
      <c r="N49" s="10" t="s">
        <v>345</v>
      </c>
      <c r="O49" s="14"/>
      <c r="P49" s="9" t="s">
        <v>197</v>
      </c>
      <c r="Q49" s="10" t="s">
        <v>345</v>
      </c>
      <c r="R49" s="14"/>
      <c r="S49" s="12" t="s">
        <v>198</v>
      </c>
      <c r="T49" s="9"/>
      <c r="U49" s="9"/>
      <c r="V49" s="98" t="s">
        <v>324</v>
      </c>
      <c r="W49" s="99"/>
      <c r="X49" s="98"/>
      <c r="Y49" s="98" t="s">
        <v>329</v>
      </c>
      <c r="Z49" s="99"/>
    </row>
    <row r="50" ht="12.75" customHeight="1">
      <c r="A50" s="9"/>
      <c r="B50" s="10" t="s">
        <v>345</v>
      </c>
      <c r="C50" s="14"/>
      <c r="D50" s="9" t="s">
        <v>199</v>
      </c>
      <c r="E50" s="10">
        <v>0.0</v>
      </c>
      <c r="F50" s="14" t="s">
        <v>9</v>
      </c>
      <c r="G50" s="5" t="s">
        <v>200</v>
      </c>
      <c r="H50" s="10">
        <v>3.0</v>
      </c>
      <c r="I50" s="14" t="s">
        <v>9</v>
      </c>
      <c r="J50" s="1" t="s">
        <v>201</v>
      </c>
      <c r="K50" s="10" t="s">
        <v>345</v>
      </c>
      <c r="L50" s="14"/>
      <c r="M50" s="9" t="s">
        <v>202</v>
      </c>
      <c r="N50" s="10">
        <v>6.0</v>
      </c>
      <c r="O50" s="14" t="s">
        <v>9</v>
      </c>
      <c r="P50" s="1" t="s">
        <v>203</v>
      </c>
      <c r="Q50" s="10">
        <v>0.0</v>
      </c>
      <c r="R50" s="14" t="s">
        <v>9</v>
      </c>
      <c r="S50" s="1" t="s">
        <v>204</v>
      </c>
      <c r="T50" s="9"/>
      <c r="U50" s="9"/>
      <c r="V50" s="100" t="s">
        <v>157</v>
      </c>
      <c r="W50" s="101">
        <v>6.0</v>
      </c>
      <c r="X50" s="100"/>
      <c r="Y50" s="100" t="s">
        <v>162</v>
      </c>
      <c r="Z50" s="101">
        <v>8.0</v>
      </c>
    </row>
    <row r="51" ht="12.75" customHeight="1">
      <c r="A51" s="9"/>
      <c r="B51" s="10">
        <v>0.0</v>
      </c>
      <c r="C51" s="14" t="s">
        <v>9</v>
      </c>
      <c r="D51" s="1" t="s">
        <v>205</v>
      </c>
      <c r="E51" s="10" t="s">
        <v>345</v>
      </c>
      <c r="F51" s="14"/>
      <c r="G51" s="9" t="s">
        <v>206</v>
      </c>
      <c r="H51" s="10">
        <v>0.0</v>
      </c>
      <c r="I51" s="14" t="s">
        <v>9</v>
      </c>
      <c r="J51" s="4" t="s">
        <v>207</v>
      </c>
      <c r="K51" s="10">
        <v>10.0</v>
      </c>
      <c r="L51" s="14" t="s">
        <v>9</v>
      </c>
      <c r="M51" s="1" t="s">
        <v>208</v>
      </c>
      <c r="N51" s="10">
        <v>0.0</v>
      </c>
      <c r="O51" s="14" t="s">
        <v>9</v>
      </c>
      <c r="P51" s="1" t="s">
        <v>209</v>
      </c>
      <c r="Q51" s="10" t="s">
        <v>345</v>
      </c>
      <c r="R51" s="14"/>
      <c r="S51" s="9" t="s">
        <v>210</v>
      </c>
      <c r="T51" s="9"/>
      <c r="U51" s="9"/>
      <c r="V51" s="100" t="s">
        <v>169</v>
      </c>
      <c r="W51" s="101">
        <v>18.0</v>
      </c>
      <c r="X51" s="100"/>
      <c r="Y51" s="100" t="s">
        <v>174</v>
      </c>
      <c r="Z51" s="101">
        <v>2.0</v>
      </c>
    </row>
    <row r="52" ht="12.75" customHeight="1">
      <c r="A52" s="9"/>
      <c r="B52" s="10" t="s">
        <v>345</v>
      </c>
      <c r="C52" s="14"/>
      <c r="D52" s="12" t="s">
        <v>211</v>
      </c>
      <c r="E52" s="10" t="s">
        <v>345</v>
      </c>
      <c r="F52" s="14"/>
      <c r="G52" s="17" t="s">
        <v>212</v>
      </c>
      <c r="H52" s="10" t="s">
        <v>345</v>
      </c>
      <c r="I52" s="14"/>
      <c r="J52" s="12" t="s">
        <v>213</v>
      </c>
      <c r="K52" s="10" t="s">
        <v>345</v>
      </c>
      <c r="L52" s="14"/>
      <c r="M52" s="12" t="s">
        <v>214</v>
      </c>
      <c r="N52" s="10" t="s">
        <v>345</v>
      </c>
      <c r="O52" s="14"/>
      <c r="P52" s="12" t="s">
        <v>215</v>
      </c>
      <c r="Q52" s="10">
        <v>0.0</v>
      </c>
      <c r="R52" s="14" t="s">
        <v>9</v>
      </c>
      <c r="S52" s="5" t="s">
        <v>216</v>
      </c>
      <c r="T52" s="9"/>
      <c r="U52" s="9"/>
      <c r="V52" s="100" t="s">
        <v>187</v>
      </c>
      <c r="W52" s="101">
        <v>2.0</v>
      </c>
      <c r="X52" s="100"/>
      <c r="Y52" s="100" t="s">
        <v>180</v>
      </c>
      <c r="Z52" s="101">
        <v>0.0</v>
      </c>
    </row>
    <row r="53" ht="12.75" customHeight="1">
      <c r="A53" s="9"/>
      <c r="B53" s="10"/>
      <c r="C53" s="3"/>
      <c r="D53" s="9"/>
      <c r="E53" s="10"/>
      <c r="F53" s="3"/>
      <c r="G53" s="9"/>
      <c r="H53" s="10"/>
      <c r="I53" s="3"/>
      <c r="J53" s="9"/>
      <c r="K53" s="10"/>
      <c r="L53" s="3"/>
      <c r="M53" s="9"/>
      <c r="N53" s="10"/>
      <c r="O53" s="3"/>
      <c r="P53" s="9"/>
      <c r="Q53" s="10"/>
      <c r="R53" s="3"/>
      <c r="S53" s="9"/>
      <c r="T53" s="9"/>
      <c r="U53" s="9"/>
      <c r="V53" s="100" t="s">
        <v>193</v>
      </c>
      <c r="W53" s="101">
        <v>8.0</v>
      </c>
      <c r="X53" s="100"/>
      <c r="Y53" s="100" t="s">
        <v>204</v>
      </c>
      <c r="Z53" s="101">
        <v>0.0</v>
      </c>
    </row>
    <row r="54" ht="12.75" customHeight="1">
      <c r="A54" s="9" t="s">
        <v>76</v>
      </c>
      <c r="B54" s="10" t="s">
        <v>345</v>
      </c>
      <c r="C54" s="14"/>
      <c r="D54" s="9" t="s">
        <v>217</v>
      </c>
      <c r="E54" s="10">
        <v>10.0</v>
      </c>
      <c r="F54" s="14" t="s">
        <v>9</v>
      </c>
      <c r="G54" s="1" t="s">
        <v>218</v>
      </c>
      <c r="H54" s="10">
        <v>2.0</v>
      </c>
      <c r="I54" s="14" t="s">
        <v>9</v>
      </c>
      <c r="J54" s="1" t="s">
        <v>219</v>
      </c>
      <c r="K54" s="10">
        <v>14.0</v>
      </c>
      <c r="L54" s="14" t="s">
        <v>9</v>
      </c>
      <c r="M54" s="5" t="s">
        <v>220</v>
      </c>
      <c r="N54" s="10">
        <v>6.0</v>
      </c>
      <c r="O54" s="14" t="s">
        <v>9</v>
      </c>
      <c r="P54" s="1" t="s">
        <v>221</v>
      </c>
      <c r="Q54" s="10" t="s">
        <v>345</v>
      </c>
      <c r="R54" s="14"/>
      <c r="S54" s="9" t="s">
        <v>222</v>
      </c>
      <c r="T54" s="9"/>
      <c r="U54" s="9"/>
      <c r="V54" s="100" t="s">
        <v>205</v>
      </c>
      <c r="W54" s="101">
        <v>0.0</v>
      </c>
      <c r="X54" s="100"/>
      <c r="Y54" s="100" t="s">
        <v>216</v>
      </c>
      <c r="Z54" s="101">
        <v>0.0</v>
      </c>
    </row>
    <row r="55" ht="12.75" customHeight="1">
      <c r="A55" s="9"/>
      <c r="B55" s="10">
        <v>0.0</v>
      </c>
      <c r="C55" s="14" t="s">
        <v>9</v>
      </c>
      <c r="D55" s="5" t="s">
        <v>223</v>
      </c>
      <c r="E55" s="10" t="s">
        <v>345</v>
      </c>
      <c r="F55" s="14"/>
      <c r="G55" s="9" t="s">
        <v>224</v>
      </c>
      <c r="H55" s="10" t="s">
        <v>345</v>
      </c>
      <c r="I55" s="14"/>
      <c r="J55" s="9" t="s">
        <v>225</v>
      </c>
      <c r="K55" s="10" t="s">
        <v>345</v>
      </c>
      <c r="L55" s="14"/>
      <c r="M55" s="12" t="s">
        <v>226</v>
      </c>
      <c r="N55" s="10" t="s">
        <v>345</v>
      </c>
      <c r="O55" s="14"/>
      <c r="P55" s="9" t="s">
        <v>227</v>
      </c>
      <c r="Q55" s="10" t="s">
        <v>345</v>
      </c>
      <c r="R55" s="14"/>
      <c r="S55" s="12" t="s">
        <v>228</v>
      </c>
      <c r="T55" s="9"/>
      <c r="U55" s="9"/>
      <c r="V55" s="100" t="s">
        <v>223</v>
      </c>
      <c r="W55" s="101">
        <v>0.0</v>
      </c>
      <c r="X55" s="100"/>
      <c r="Y55" s="100" t="s">
        <v>234</v>
      </c>
      <c r="Z55" s="101">
        <v>2.0</v>
      </c>
    </row>
    <row r="56" ht="12.75" customHeight="1">
      <c r="A56" s="9"/>
      <c r="B56" s="10" t="s">
        <v>345</v>
      </c>
      <c r="C56" s="14"/>
      <c r="D56" s="12" t="s">
        <v>229</v>
      </c>
      <c r="E56" s="10" t="s">
        <v>345</v>
      </c>
      <c r="F56" s="14"/>
      <c r="G56" s="9" t="s">
        <v>230</v>
      </c>
      <c r="H56" s="10" t="s">
        <v>345</v>
      </c>
      <c r="I56" s="14"/>
      <c r="J56" s="12" t="s">
        <v>231</v>
      </c>
      <c r="K56" s="10" t="s">
        <v>345</v>
      </c>
      <c r="L56" s="14"/>
      <c r="M56" s="12" t="s">
        <v>232</v>
      </c>
      <c r="N56" s="10" t="s">
        <v>345</v>
      </c>
      <c r="O56" s="14"/>
      <c r="P56" s="9" t="s">
        <v>233</v>
      </c>
      <c r="Q56" s="10">
        <v>2.0</v>
      </c>
      <c r="R56" s="14" t="s">
        <v>9</v>
      </c>
      <c r="S56" s="5" t="s">
        <v>234</v>
      </c>
      <c r="T56" s="9"/>
      <c r="U56" s="9"/>
      <c r="V56" s="100" t="s">
        <v>235</v>
      </c>
      <c r="W56" s="101">
        <v>6.0</v>
      </c>
      <c r="X56" s="100"/>
      <c r="Y56" s="100" t="s">
        <v>246</v>
      </c>
      <c r="Z56" s="101">
        <v>5.0</v>
      </c>
    </row>
    <row r="57" ht="12.75" customHeight="1">
      <c r="A57" s="9"/>
      <c r="B57" s="10"/>
      <c r="C57" s="3"/>
      <c r="D57" s="9"/>
      <c r="E57" s="10"/>
      <c r="F57" s="3"/>
      <c r="G57" s="9"/>
      <c r="H57" s="10"/>
      <c r="I57" s="3"/>
      <c r="J57" s="9"/>
      <c r="K57" s="10"/>
      <c r="L57" s="3"/>
      <c r="M57" s="9"/>
      <c r="N57" s="10"/>
      <c r="O57" s="3"/>
      <c r="P57" s="9"/>
      <c r="Q57" s="10"/>
      <c r="R57" s="3"/>
      <c r="S57" s="9"/>
      <c r="T57" s="9"/>
      <c r="U57" s="9"/>
      <c r="V57" s="100" t="s">
        <v>253</v>
      </c>
      <c r="W57" s="101">
        <v>3.0</v>
      </c>
      <c r="X57" s="100"/>
      <c r="Y57" s="100" t="s">
        <v>252</v>
      </c>
      <c r="Z57" s="101">
        <v>3.0</v>
      </c>
    </row>
    <row r="58" ht="12.75" customHeight="1">
      <c r="A58" s="9" t="s">
        <v>96</v>
      </c>
      <c r="B58" s="10">
        <v>6.0</v>
      </c>
      <c r="C58" s="14" t="s">
        <v>9</v>
      </c>
      <c r="D58" s="1" t="s">
        <v>235</v>
      </c>
      <c r="E58" s="10" t="s">
        <v>345</v>
      </c>
      <c r="F58" s="14"/>
      <c r="G58" s="9" t="s">
        <v>236</v>
      </c>
      <c r="H58" s="10">
        <v>3.0</v>
      </c>
      <c r="I58" s="14" t="s">
        <v>9</v>
      </c>
      <c r="J58" s="1" t="s">
        <v>237</v>
      </c>
      <c r="K58" s="10">
        <v>5.0</v>
      </c>
      <c r="L58" s="14" t="s">
        <v>9</v>
      </c>
      <c r="M58" s="5" t="s">
        <v>238</v>
      </c>
      <c r="N58" s="10" t="s">
        <v>345</v>
      </c>
      <c r="O58" s="14"/>
      <c r="P58" s="12" t="s">
        <v>239</v>
      </c>
      <c r="Q58" s="10" t="s">
        <v>345</v>
      </c>
      <c r="R58" s="14"/>
      <c r="S58" s="9" t="s">
        <v>240</v>
      </c>
      <c r="T58" s="9"/>
      <c r="U58" s="9"/>
      <c r="V58" s="100" t="s">
        <v>259</v>
      </c>
      <c r="W58" s="101">
        <v>5.0</v>
      </c>
      <c r="X58" s="100"/>
      <c r="Y58" s="100" t="s">
        <v>270</v>
      </c>
      <c r="Z58" s="101">
        <v>5.0</v>
      </c>
    </row>
    <row r="59" ht="12.75" customHeight="1">
      <c r="A59" s="9"/>
      <c r="B59" s="10" t="s">
        <v>345</v>
      </c>
      <c r="C59" s="14"/>
      <c r="D59" s="12" t="s">
        <v>241</v>
      </c>
      <c r="E59" s="10">
        <v>8.0</v>
      </c>
      <c r="F59" s="14" t="s">
        <v>9</v>
      </c>
      <c r="G59" s="1" t="s">
        <v>242</v>
      </c>
      <c r="H59" s="10" t="s">
        <v>345</v>
      </c>
      <c r="I59" s="14"/>
      <c r="J59" s="9" t="s">
        <v>243</v>
      </c>
      <c r="K59" s="10" t="s">
        <v>345</v>
      </c>
      <c r="L59" s="14"/>
      <c r="M59" s="12" t="s">
        <v>244</v>
      </c>
      <c r="N59" s="10">
        <v>0.0</v>
      </c>
      <c r="O59" s="14" t="s">
        <v>9</v>
      </c>
      <c r="P59" s="5" t="s">
        <v>245</v>
      </c>
      <c r="Q59" s="10">
        <v>5.0</v>
      </c>
      <c r="R59" s="14" t="s">
        <v>9</v>
      </c>
      <c r="S59" s="5" t="s">
        <v>246</v>
      </c>
      <c r="T59" s="9"/>
      <c r="U59" s="9"/>
      <c r="V59" s="100"/>
      <c r="W59" s="101">
        <v>48.0</v>
      </c>
      <c r="X59" s="100"/>
      <c r="Y59" s="100"/>
      <c r="Z59" s="101">
        <v>25.0</v>
      </c>
    </row>
    <row r="60" ht="12.75" customHeight="1">
      <c r="A60" s="9"/>
      <c r="B60" s="10"/>
      <c r="C60" s="3"/>
      <c r="D60" s="9"/>
      <c r="E60" s="10"/>
      <c r="F60" s="3"/>
      <c r="G60" s="9"/>
      <c r="H60" s="10"/>
      <c r="I60" s="3"/>
      <c r="J60" s="9"/>
      <c r="K60" s="10"/>
      <c r="L60" s="3"/>
      <c r="M60" s="9"/>
      <c r="N60" s="10"/>
      <c r="O60" s="3"/>
      <c r="P60" s="9"/>
      <c r="Q60" s="10"/>
      <c r="R60" s="3"/>
      <c r="S60" s="9"/>
      <c r="T60" s="9"/>
      <c r="U60" s="9"/>
      <c r="V60" s="100"/>
      <c r="W60" s="101"/>
      <c r="X60" s="100"/>
      <c r="Y60" s="100"/>
      <c r="Z60" s="101"/>
    </row>
    <row r="61" ht="12.75" customHeight="1">
      <c r="A61" s="9" t="s">
        <v>109</v>
      </c>
      <c r="B61" s="10" t="s">
        <v>345</v>
      </c>
      <c r="C61" s="14"/>
      <c r="D61" s="9" t="s">
        <v>247</v>
      </c>
      <c r="E61" s="10">
        <v>6.0</v>
      </c>
      <c r="F61" s="14" t="s">
        <v>9</v>
      </c>
      <c r="G61" s="5" t="s">
        <v>248</v>
      </c>
      <c r="H61" s="10">
        <v>10.0</v>
      </c>
      <c r="I61" s="14" t="s">
        <v>9</v>
      </c>
      <c r="J61" s="5" t="s">
        <v>249</v>
      </c>
      <c r="K61" s="10" t="s">
        <v>345</v>
      </c>
      <c r="L61" s="14"/>
      <c r="M61" s="12" t="s">
        <v>250</v>
      </c>
      <c r="N61" s="10" t="s">
        <v>345</v>
      </c>
      <c r="O61" s="14"/>
      <c r="P61" s="9" t="s">
        <v>251</v>
      </c>
      <c r="Q61" s="10">
        <v>3.0</v>
      </c>
      <c r="R61" s="14" t="s">
        <v>9</v>
      </c>
      <c r="S61" s="5" t="s">
        <v>252</v>
      </c>
      <c r="T61" s="9"/>
      <c r="U61" s="9"/>
      <c r="V61" s="98" t="s">
        <v>326</v>
      </c>
      <c r="W61" s="99"/>
      <c r="X61" s="98"/>
      <c r="Y61" s="98" t="s">
        <v>320</v>
      </c>
      <c r="Z61" s="99"/>
    </row>
    <row r="62" ht="12.75" customHeight="1">
      <c r="A62" s="9"/>
      <c r="B62" s="10">
        <v>3.0</v>
      </c>
      <c r="C62" s="14" t="s">
        <v>9</v>
      </c>
      <c r="D62" s="1" t="s">
        <v>253</v>
      </c>
      <c r="E62" s="10" t="s">
        <v>345</v>
      </c>
      <c r="F62" s="14"/>
      <c r="G62" s="12" t="s">
        <v>254</v>
      </c>
      <c r="H62" s="10" t="s">
        <v>345</v>
      </c>
      <c r="I62" s="14"/>
      <c r="J62" s="12" t="s">
        <v>255</v>
      </c>
      <c r="K62" s="10">
        <v>0.0</v>
      </c>
      <c r="L62" s="14" t="s">
        <v>9</v>
      </c>
      <c r="M62" s="1" t="s">
        <v>256</v>
      </c>
      <c r="N62" s="10">
        <v>15.0</v>
      </c>
      <c r="O62" s="14" t="s">
        <v>9</v>
      </c>
      <c r="P62" s="5" t="s">
        <v>257</v>
      </c>
      <c r="Q62" s="10" t="s">
        <v>345</v>
      </c>
      <c r="R62" s="14"/>
      <c r="S62" s="12" t="s">
        <v>258</v>
      </c>
      <c r="T62" s="9"/>
      <c r="U62" s="9"/>
      <c r="V62" s="100" t="s">
        <v>159</v>
      </c>
      <c r="W62" s="101">
        <v>0.0</v>
      </c>
      <c r="X62" s="100"/>
      <c r="Y62" s="100" t="s">
        <v>22</v>
      </c>
      <c r="Z62" s="101">
        <v>26.0</v>
      </c>
    </row>
    <row r="63" ht="12.75" customHeight="1">
      <c r="A63" s="9"/>
      <c r="B63" s="10"/>
      <c r="C63" s="3"/>
      <c r="D63" s="9"/>
      <c r="E63" s="10"/>
      <c r="F63" s="3"/>
      <c r="G63" s="9"/>
      <c r="H63" s="10"/>
      <c r="I63" s="3"/>
      <c r="J63" s="9"/>
      <c r="K63" s="10"/>
      <c r="L63" s="3"/>
      <c r="M63" s="9"/>
      <c r="N63" s="10"/>
      <c r="O63" s="3"/>
      <c r="P63" s="9"/>
      <c r="Q63" s="10"/>
      <c r="R63" s="3"/>
      <c r="S63" s="9"/>
      <c r="T63" s="9"/>
      <c r="U63" s="9"/>
      <c r="V63" s="100" t="s">
        <v>171</v>
      </c>
      <c r="W63" s="101">
        <v>15.0</v>
      </c>
      <c r="X63" s="100"/>
      <c r="Y63" s="100" t="s">
        <v>29</v>
      </c>
      <c r="Z63" s="101">
        <v>8.0</v>
      </c>
    </row>
    <row r="64" ht="12.75" customHeight="1">
      <c r="A64" s="9" t="s">
        <v>122</v>
      </c>
      <c r="B64" s="10">
        <v>5.0</v>
      </c>
      <c r="C64" s="14" t="s">
        <v>9</v>
      </c>
      <c r="D64" s="5" t="s">
        <v>259</v>
      </c>
      <c r="E64" s="10">
        <v>0.0</v>
      </c>
      <c r="F64" s="14" t="s">
        <v>9</v>
      </c>
      <c r="G64" s="1" t="s">
        <v>260</v>
      </c>
      <c r="H64" s="10">
        <v>4.0</v>
      </c>
      <c r="I64" s="14" t="s">
        <v>9</v>
      </c>
      <c r="J64" s="1" t="s">
        <v>261</v>
      </c>
      <c r="K64" s="10">
        <v>4.0</v>
      </c>
      <c r="L64" s="14" t="s">
        <v>9</v>
      </c>
      <c r="M64" s="5" t="s">
        <v>262</v>
      </c>
      <c r="N64" s="10" t="s">
        <v>345</v>
      </c>
      <c r="O64" s="14"/>
      <c r="P64" s="12" t="s">
        <v>263</v>
      </c>
      <c r="Q64" s="10" t="s">
        <v>345</v>
      </c>
      <c r="R64" s="14"/>
      <c r="S64" s="9" t="s">
        <v>264</v>
      </c>
      <c r="T64" s="9"/>
      <c r="U64" s="9"/>
      <c r="V64" s="100" t="s">
        <v>183</v>
      </c>
      <c r="W64" s="101">
        <v>8.0</v>
      </c>
      <c r="X64" s="100"/>
      <c r="Y64" s="100" t="s">
        <v>35</v>
      </c>
      <c r="Z64" s="101">
        <v>0.0</v>
      </c>
    </row>
    <row r="65" ht="12.75" customHeight="1">
      <c r="A65" s="9"/>
      <c r="B65" s="10" t="s">
        <v>345</v>
      </c>
      <c r="C65" s="14"/>
      <c r="D65" s="9" t="s">
        <v>265</v>
      </c>
      <c r="E65" s="10" t="s">
        <v>345</v>
      </c>
      <c r="F65" s="14"/>
      <c r="G65" s="12" t="s">
        <v>266</v>
      </c>
      <c r="H65" s="10" t="s">
        <v>345</v>
      </c>
      <c r="I65" s="14"/>
      <c r="J65" s="9" t="s">
        <v>267</v>
      </c>
      <c r="K65" s="10" t="s">
        <v>345</v>
      </c>
      <c r="L65" s="14"/>
      <c r="M65" s="9" t="s">
        <v>268</v>
      </c>
      <c r="N65" s="10">
        <v>0.0</v>
      </c>
      <c r="O65" s="14" t="s">
        <v>9</v>
      </c>
      <c r="P65" s="1" t="s">
        <v>269</v>
      </c>
      <c r="Q65" s="10">
        <v>5.0</v>
      </c>
      <c r="R65" s="14" t="s">
        <v>9</v>
      </c>
      <c r="S65" s="5" t="s">
        <v>270</v>
      </c>
      <c r="T65" s="9"/>
      <c r="U65" s="9"/>
      <c r="V65" s="100" t="s">
        <v>201</v>
      </c>
      <c r="W65" s="101">
        <v>3.0</v>
      </c>
      <c r="X65" s="100"/>
      <c r="Y65" s="100" t="s">
        <v>54</v>
      </c>
      <c r="Z65" s="101">
        <v>0.0</v>
      </c>
    </row>
    <row r="66" ht="12.75" customHeight="1">
      <c r="A66" s="9"/>
      <c r="B66" s="2"/>
      <c r="C66" s="3"/>
      <c r="D66" s="9"/>
      <c r="E66" s="10"/>
      <c r="F66" s="3"/>
      <c r="G66" s="9"/>
      <c r="H66" s="10"/>
      <c r="I66" s="3"/>
      <c r="J66" s="9"/>
      <c r="K66" s="10"/>
      <c r="L66" s="3"/>
      <c r="M66" s="9"/>
      <c r="N66" s="10"/>
      <c r="O66" s="3"/>
      <c r="P66" s="9"/>
      <c r="Q66" s="10"/>
      <c r="R66" s="3"/>
      <c r="S66" s="9"/>
      <c r="T66" s="9"/>
      <c r="U66" s="9"/>
      <c r="V66" s="18" t="s">
        <v>207</v>
      </c>
      <c r="W66" s="101">
        <v>0.0</v>
      </c>
      <c r="X66" s="100"/>
      <c r="Y66" s="100" t="s">
        <v>60</v>
      </c>
      <c r="Z66" s="101">
        <v>6.0</v>
      </c>
    </row>
    <row r="67" ht="12.75" customHeight="1">
      <c r="A67" s="19"/>
      <c r="B67" s="20"/>
      <c r="C67" s="21"/>
      <c r="D67" s="22">
        <v>48.0</v>
      </c>
      <c r="E67" s="20"/>
      <c r="F67" s="21"/>
      <c r="G67" s="22">
        <v>63.0</v>
      </c>
      <c r="H67" s="20"/>
      <c r="I67" s="21"/>
      <c r="J67" s="22">
        <v>45.0</v>
      </c>
      <c r="K67" s="20"/>
      <c r="L67" s="21"/>
      <c r="M67" s="22">
        <v>53.0</v>
      </c>
      <c r="N67" s="20"/>
      <c r="O67" s="21"/>
      <c r="P67" s="22">
        <v>38.0</v>
      </c>
      <c r="Q67" s="20"/>
      <c r="R67" s="21"/>
      <c r="S67" s="22">
        <v>25.0</v>
      </c>
      <c r="T67" s="19"/>
      <c r="U67" s="19"/>
      <c r="V67" s="100" t="s">
        <v>219</v>
      </c>
      <c r="W67" s="101">
        <v>2.0</v>
      </c>
      <c r="X67" s="100"/>
      <c r="Y67" s="100" t="s">
        <v>85</v>
      </c>
      <c r="Z67" s="101">
        <v>0.0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6"/>
      <c r="S68" s="9"/>
      <c r="T68" s="9"/>
      <c r="U68" s="9"/>
      <c r="V68" s="100" t="s">
        <v>237</v>
      </c>
      <c r="W68" s="101">
        <v>3.0</v>
      </c>
      <c r="X68" s="100"/>
      <c r="Y68" s="100" t="s">
        <v>99</v>
      </c>
      <c r="Z68" s="101">
        <v>6.0</v>
      </c>
    </row>
    <row r="69" ht="12.75" customHeight="1">
      <c r="A69" s="9" t="s">
        <v>135</v>
      </c>
      <c r="B69" s="2"/>
      <c r="C69" s="3"/>
      <c r="D69" s="9" t="s">
        <v>271</v>
      </c>
      <c r="E69" s="2"/>
      <c r="F69" s="6"/>
      <c r="G69" s="9" t="s">
        <v>272</v>
      </c>
      <c r="H69" s="2"/>
      <c r="I69" s="6"/>
      <c r="J69" s="9" t="s">
        <v>273</v>
      </c>
      <c r="K69" s="2"/>
      <c r="L69" s="6"/>
      <c r="M69" s="9" t="s">
        <v>274</v>
      </c>
      <c r="N69" s="2"/>
      <c r="O69" s="6"/>
      <c r="P69" s="9" t="s">
        <v>275</v>
      </c>
      <c r="Q69" s="2"/>
      <c r="R69" s="6"/>
      <c r="S69" s="9" t="s">
        <v>276</v>
      </c>
      <c r="T69" s="9"/>
      <c r="U69" s="9"/>
      <c r="V69" s="100" t="s">
        <v>249</v>
      </c>
      <c r="W69" s="101">
        <v>10.0</v>
      </c>
      <c r="X69" s="100"/>
      <c r="Y69" s="100" t="s">
        <v>118</v>
      </c>
      <c r="Z69" s="101">
        <v>6.0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277</v>
      </c>
      <c r="K70" s="2"/>
      <c r="L70" s="6"/>
      <c r="M70" s="9" t="s">
        <v>95</v>
      </c>
      <c r="N70" s="2"/>
      <c r="O70" s="6"/>
      <c r="P70" s="9"/>
      <c r="Q70" s="2"/>
      <c r="R70" s="6"/>
      <c r="S70" s="9"/>
      <c r="T70" s="9"/>
      <c r="U70" s="9"/>
      <c r="V70" s="100" t="s">
        <v>261</v>
      </c>
      <c r="W70" s="101">
        <v>4.0</v>
      </c>
      <c r="X70" s="100"/>
      <c r="Y70" s="100" t="s">
        <v>125</v>
      </c>
      <c r="Z70" s="101">
        <v>5.0</v>
      </c>
    </row>
    <row r="71" ht="12.75" customHeight="1">
      <c r="A71" s="9"/>
      <c r="B71" s="2"/>
      <c r="C71" s="3"/>
      <c r="D71" s="9"/>
      <c r="E71" s="2"/>
      <c r="F71" s="6"/>
      <c r="G71" s="28"/>
      <c r="H71" s="2"/>
      <c r="I71" s="6"/>
      <c r="J71" s="28"/>
      <c r="K71" s="2"/>
      <c r="L71" s="6"/>
      <c r="M71" s="28"/>
      <c r="N71" s="2"/>
      <c r="O71" s="6"/>
      <c r="P71" s="28"/>
      <c r="Q71" s="2"/>
      <c r="R71" s="6"/>
      <c r="S71" s="28"/>
      <c r="T71" s="9"/>
      <c r="U71" s="9"/>
      <c r="V71" s="100"/>
      <c r="W71" s="101">
        <v>45.0</v>
      </c>
      <c r="X71" s="100"/>
      <c r="Y71" s="100"/>
      <c r="Z71" s="101">
        <v>57.0</v>
      </c>
    </row>
    <row r="72" ht="12.75" customHeight="1">
      <c r="A72" s="9" t="s">
        <v>143</v>
      </c>
      <c r="B72" s="2"/>
      <c r="C72" s="3"/>
      <c r="D72" s="12"/>
      <c r="F72" s="29"/>
      <c r="G72" s="25"/>
      <c r="H72" s="25"/>
      <c r="J72" s="25"/>
      <c r="K72" s="26"/>
      <c r="M72" s="25"/>
      <c r="N72" s="26"/>
      <c r="P72" s="25"/>
      <c r="Q72" s="25"/>
      <c r="R72" s="30"/>
      <c r="S72" s="25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29"/>
      <c r="G73" s="25"/>
      <c r="H73" s="25"/>
      <c r="J73" s="25"/>
      <c r="K73" s="26"/>
      <c r="M73" s="25"/>
      <c r="N73" s="28"/>
      <c r="P73" s="25"/>
      <c r="Q73" s="25"/>
      <c r="R73" s="30"/>
      <c r="S73" s="25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29"/>
      <c r="G74" s="25"/>
      <c r="H74" s="25"/>
      <c r="J74" s="25"/>
      <c r="K74" s="26"/>
      <c r="M74" s="25"/>
      <c r="N74" s="26"/>
      <c r="P74" s="25"/>
      <c r="Q74" s="25"/>
      <c r="R74" s="30"/>
      <c r="S74" s="25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19.57"/>
    <col customWidth="1" min="23" max="23" width="4.0"/>
    <col customWidth="1" min="24" max="24" width="3.0"/>
    <col customWidth="1" min="25" max="25" width="22.29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8" t="s">
        <v>327</v>
      </c>
      <c r="W1" s="99"/>
      <c r="X1" s="98"/>
      <c r="Y1" s="98" t="s">
        <v>322</v>
      </c>
      <c r="Z1" s="99"/>
    </row>
    <row r="2" ht="12.75" customHeight="1">
      <c r="A2" s="9" t="s">
        <v>6</v>
      </c>
      <c r="B2" s="10" t="s">
        <v>345</v>
      </c>
      <c r="C2" s="14"/>
      <c r="D2" s="9" t="s">
        <v>7</v>
      </c>
      <c r="E2" s="10" t="s">
        <v>345</v>
      </c>
      <c r="F2" s="14"/>
      <c r="G2" s="12" t="s">
        <v>8</v>
      </c>
      <c r="H2" s="10" t="s">
        <v>345</v>
      </c>
      <c r="I2" s="14"/>
      <c r="J2" s="9" t="s">
        <v>10</v>
      </c>
      <c r="K2" s="10">
        <v>21.0</v>
      </c>
      <c r="L2" s="14" t="s">
        <v>9</v>
      </c>
      <c r="M2" s="5" t="s">
        <v>11</v>
      </c>
      <c r="N2" s="10">
        <v>1.0</v>
      </c>
      <c r="O2" s="14" t="s">
        <v>9</v>
      </c>
      <c r="P2" s="1" t="s">
        <v>12</v>
      </c>
      <c r="Q2" s="10">
        <v>2.0</v>
      </c>
      <c r="R2" s="14" t="s">
        <v>9</v>
      </c>
      <c r="S2" s="5" t="s">
        <v>13</v>
      </c>
      <c r="T2" s="9"/>
      <c r="U2" s="9"/>
      <c r="V2" s="100" t="s">
        <v>160</v>
      </c>
      <c r="W2" s="101">
        <v>6.0</v>
      </c>
      <c r="X2" s="100"/>
      <c r="Y2" s="100" t="s">
        <v>12</v>
      </c>
      <c r="Z2" s="101">
        <v>1.0</v>
      </c>
    </row>
    <row r="3" ht="12.75" customHeight="1">
      <c r="A3" s="9"/>
      <c r="B3" s="10" t="s">
        <v>345</v>
      </c>
      <c r="C3" s="14"/>
      <c r="D3" s="9" t="s">
        <v>14</v>
      </c>
      <c r="E3" s="10" t="s">
        <v>345</v>
      </c>
      <c r="F3" s="14"/>
      <c r="G3" s="12" t="s">
        <v>15</v>
      </c>
      <c r="H3" s="10" t="s">
        <v>345</v>
      </c>
      <c r="I3" s="14"/>
      <c r="J3" s="9" t="s">
        <v>16</v>
      </c>
      <c r="K3" s="10" t="s">
        <v>345</v>
      </c>
      <c r="L3" s="14"/>
      <c r="M3" s="9" t="s">
        <v>17</v>
      </c>
      <c r="N3" s="10" t="s">
        <v>345</v>
      </c>
      <c r="O3" s="14"/>
      <c r="P3" s="9" t="s">
        <v>18</v>
      </c>
      <c r="Q3" s="10" t="s">
        <v>345</v>
      </c>
      <c r="R3" s="14"/>
      <c r="S3" s="9" t="s">
        <v>19</v>
      </c>
      <c r="T3" s="9"/>
      <c r="U3" s="9"/>
      <c r="V3" s="100" t="s">
        <v>172</v>
      </c>
      <c r="W3" s="101">
        <v>0.0</v>
      </c>
      <c r="X3" s="100"/>
      <c r="Y3" s="100" t="s">
        <v>43</v>
      </c>
      <c r="Z3" s="101">
        <v>6.0</v>
      </c>
    </row>
    <row r="4" ht="12.75" customHeight="1">
      <c r="A4" s="9"/>
      <c r="B4" s="10">
        <v>3.0</v>
      </c>
      <c r="C4" s="14" t="s">
        <v>9</v>
      </c>
      <c r="D4" s="5" t="s">
        <v>20</v>
      </c>
      <c r="E4" s="10">
        <v>3.0</v>
      </c>
      <c r="F4" s="14" t="s">
        <v>9</v>
      </c>
      <c r="G4" s="5" t="s">
        <v>21</v>
      </c>
      <c r="H4" s="10">
        <v>22.0</v>
      </c>
      <c r="I4" s="14" t="s">
        <v>9</v>
      </c>
      <c r="J4" s="5" t="s">
        <v>22</v>
      </c>
      <c r="K4" s="10" t="s">
        <v>345</v>
      </c>
      <c r="L4" s="14"/>
      <c r="M4" s="12" t="s">
        <v>23</v>
      </c>
      <c r="N4" s="10" t="s">
        <v>345</v>
      </c>
      <c r="O4" s="14"/>
      <c r="P4" s="12" t="s">
        <v>24</v>
      </c>
      <c r="Q4" s="10" t="s">
        <v>345</v>
      </c>
      <c r="R4" s="14"/>
      <c r="S4" s="12" t="s">
        <v>25</v>
      </c>
      <c r="T4" s="9"/>
      <c r="U4" s="9"/>
      <c r="V4" s="100" t="s">
        <v>178</v>
      </c>
      <c r="W4" s="101">
        <v>12.0</v>
      </c>
      <c r="X4" s="100"/>
      <c r="Y4" s="100" t="s">
        <v>49</v>
      </c>
      <c r="Z4" s="101">
        <v>0.0</v>
      </c>
    </row>
    <row r="5" ht="12.75" customHeight="1">
      <c r="A5" s="9"/>
      <c r="B5" s="10"/>
      <c r="C5" s="3"/>
      <c r="D5" s="9"/>
      <c r="E5" s="10"/>
      <c r="F5" s="3"/>
      <c r="G5" s="9"/>
      <c r="H5" s="10" t="s">
        <v>345</v>
      </c>
      <c r="I5" s="3"/>
      <c r="J5" s="9"/>
      <c r="K5" s="10"/>
      <c r="L5" s="3"/>
      <c r="M5" s="9"/>
      <c r="N5" s="10"/>
      <c r="O5" s="3"/>
      <c r="P5" s="9"/>
      <c r="Q5" s="10"/>
      <c r="R5" s="3"/>
      <c r="S5" s="9"/>
      <c r="T5" s="9"/>
      <c r="U5" s="9"/>
      <c r="V5" s="100" t="s">
        <v>196</v>
      </c>
      <c r="W5" s="101">
        <v>2.0</v>
      </c>
      <c r="X5" s="100"/>
      <c r="Y5" s="100" t="s">
        <v>56</v>
      </c>
      <c r="Z5" s="101">
        <v>10.0</v>
      </c>
    </row>
    <row r="6" ht="12.75" customHeight="1">
      <c r="A6" s="9" t="s">
        <v>26</v>
      </c>
      <c r="B6" s="10" t="s">
        <v>345</v>
      </c>
      <c r="C6" s="14"/>
      <c r="D6" s="9" t="s">
        <v>27</v>
      </c>
      <c r="E6" s="10">
        <v>26.0</v>
      </c>
      <c r="F6" s="14" t="s">
        <v>9</v>
      </c>
      <c r="G6" s="1" t="s">
        <v>28</v>
      </c>
      <c r="H6" s="10">
        <v>0.0</v>
      </c>
      <c r="I6" s="14" t="s">
        <v>9</v>
      </c>
      <c r="J6" s="5" t="s">
        <v>29</v>
      </c>
      <c r="K6" s="10" t="s">
        <v>345</v>
      </c>
      <c r="L6" s="14"/>
      <c r="M6" s="12" t="s">
        <v>30</v>
      </c>
      <c r="N6" s="10" t="s">
        <v>345</v>
      </c>
      <c r="O6" s="14"/>
      <c r="P6" s="9" t="s">
        <v>31</v>
      </c>
      <c r="Q6" s="10" t="s">
        <v>345</v>
      </c>
      <c r="R6" s="14"/>
      <c r="S6" s="12" t="s">
        <v>32</v>
      </c>
      <c r="T6" s="9"/>
      <c r="U6" s="9"/>
      <c r="V6" s="100" t="s">
        <v>208</v>
      </c>
      <c r="W6" s="101">
        <v>10.0</v>
      </c>
      <c r="X6" s="100"/>
      <c r="Y6" s="100" t="s">
        <v>68</v>
      </c>
      <c r="Z6" s="101">
        <v>0.0</v>
      </c>
    </row>
    <row r="7" ht="12.75" customHeight="1">
      <c r="A7" s="9"/>
      <c r="B7" s="10">
        <v>8.0</v>
      </c>
      <c r="C7" s="14" t="s">
        <v>9</v>
      </c>
      <c r="D7" s="5" t="s">
        <v>33</v>
      </c>
      <c r="E7" s="10">
        <v>0.0</v>
      </c>
      <c r="F7" s="14" t="s">
        <v>9</v>
      </c>
      <c r="G7" s="5" t="s">
        <v>34</v>
      </c>
      <c r="H7" s="10">
        <v>0.0</v>
      </c>
      <c r="I7" s="14" t="s">
        <v>9</v>
      </c>
      <c r="J7" s="5" t="s">
        <v>35</v>
      </c>
      <c r="K7" s="10" t="s">
        <v>345</v>
      </c>
      <c r="L7" s="14"/>
      <c r="M7" s="9" t="s">
        <v>36</v>
      </c>
      <c r="N7" s="10" t="s">
        <v>345</v>
      </c>
      <c r="O7" s="14"/>
      <c r="P7" s="12" t="s">
        <v>37</v>
      </c>
      <c r="Q7" s="10" t="s">
        <v>345</v>
      </c>
      <c r="R7" s="14"/>
      <c r="S7" s="12" t="s">
        <v>38</v>
      </c>
      <c r="T7" s="9"/>
      <c r="U7" s="9"/>
      <c r="V7" s="100" t="s">
        <v>220</v>
      </c>
      <c r="W7" s="101">
        <v>3.0</v>
      </c>
      <c r="X7" s="100"/>
      <c r="Y7" s="100" t="s">
        <v>87</v>
      </c>
      <c r="Z7" s="101">
        <v>0.0</v>
      </c>
    </row>
    <row r="8" ht="12.75" customHeight="1">
      <c r="A8" s="9"/>
      <c r="B8" s="10">
        <v>0.0</v>
      </c>
      <c r="C8" s="14" t="s">
        <v>9</v>
      </c>
      <c r="D8" s="5" t="s">
        <v>39</v>
      </c>
      <c r="E8" s="10" t="s">
        <v>345</v>
      </c>
      <c r="F8" s="14"/>
      <c r="G8" s="12" t="s">
        <v>40</v>
      </c>
      <c r="H8" s="10" t="s">
        <v>345</v>
      </c>
      <c r="I8" s="14"/>
      <c r="J8" s="9" t="s">
        <v>41</v>
      </c>
      <c r="K8" s="10">
        <v>0.0</v>
      </c>
      <c r="L8" s="14" t="s">
        <v>9</v>
      </c>
      <c r="M8" s="5" t="s">
        <v>42</v>
      </c>
      <c r="N8" s="10">
        <v>6.0</v>
      </c>
      <c r="O8" s="14" t="s">
        <v>9</v>
      </c>
      <c r="P8" s="15" t="s">
        <v>43</v>
      </c>
      <c r="Q8" s="10">
        <v>12.0</v>
      </c>
      <c r="R8" s="14" t="s">
        <v>9</v>
      </c>
      <c r="S8" s="4" t="s">
        <v>44</v>
      </c>
      <c r="T8" s="9"/>
      <c r="U8" s="9"/>
      <c r="V8" s="100" t="s">
        <v>238</v>
      </c>
      <c r="W8" s="101">
        <v>11.0</v>
      </c>
      <c r="X8" s="100"/>
      <c r="Y8" s="100" t="s">
        <v>101</v>
      </c>
      <c r="Z8" s="101">
        <v>7.0</v>
      </c>
    </row>
    <row r="9" ht="12.75" customHeight="1">
      <c r="A9" s="9"/>
      <c r="B9" s="10" t="s">
        <v>345</v>
      </c>
      <c r="C9" s="14"/>
      <c r="D9" s="12" t="s">
        <v>45</v>
      </c>
      <c r="E9" s="10" t="s">
        <v>345</v>
      </c>
      <c r="F9" s="14"/>
      <c r="G9" s="12" t="s">
        <v>46</v>
      </c>
      <c r="H9" s="10" t="s">
        <v>345</v>
      </c>
      <c r="I9" s="14"/>
      <c r="J9" s="12" t="s">
        <v>47</v>
      </c>
      <c r="K9" s="10">
        <v>0.0</v>
      </c>
      <c r="L9" s="14" t="s">
        <v>9</v>
      </c>
      <c r="M9" s="5" t="s">
        <v>48</v>
      </c>
      <c r="N9" s="10">
        <v>0.0</v>
      </c>
      <c r="O9" s="14" t="s">
        <v>9</v>
      </c>
      <c r="P9" s="15" t="s">
        <v>49</v>
      </c>
      <c r="Q9" s="10">
        <v>6.0</v>
      </c>
      <c r="R9" s="14" t="s">
        <v>9</v>
      </c>
      <c r="S9" s="5" t="s">
        <v>50</v>
      </c>
      <c r="T9" s="9"/>
      <c r="U9" s="9"/>
      <c r="V9" s="100" t="s">
        <v>250</v>
      </c>
      <c r="W9" s="101">
        <v>7.0</v>
      </c>
      <c r="X9" s="100"/>
      <c r="Y9" s="100" t="s">
        <v>120</v>
      </c>
      <c r="Z9" s="101">
        <v>7.0</v>
      </c>
    </row>
    <row r="10" ht="12.75" customHeight="1">
      <c r="A10" s="9"/>
      <c r="B10" s="10"/>
      <c r="C10" s="3"/>
      <c r="D10" s="9"/>
      <c r="E10" s="10"/>
      <c r="F10" s="3"/>
      <c r="G10" s="9"/>
      <c r="H10" s="10" t="s">
        <v>345</v>
      </c>
      <c r="I10" s="3"/>
      <c r="J10" s="9"/>
      <c r="K10" s="10"/>
      <c r="L10" s="3"/>
      <c r="M10" s="9"/>
      <c r="N10" s="10"/>
      <c r="O10" s="3"/>
      <c r="P10" s="9"/>
      <c r="Q10" s="10"/>
      <c r="R10" s="3"/>
      <c r="S10" s="9"/>
      <c r="T10" s="9"/>
      <c r="U10" s="9"/>
      <c r="V10" s="100" t="s">
        <v>262</v>
      </c>
      <c r="W10" s="101">
        <v>0.0</v>
      </c>
      <c r="X10" s="100"/>
      <c r="Y10" s="100" t="s">
        <v>133</v>
      </c>
      <c r="Z10" s="101">
        <v>5.0</v>
      </c>
    </row>
    <row r="11" ht="12.75" customHeight="1">
      <c r="A11" s="9" t="s">
        <v>51</v>
      </c>
      <c r="B11" s="10" t="s">
        <v>345</v>
      </c>
      <c r="C11" s="14"/>
      <c r="D11" s="9" t="s">
        <v>52</v>
      </c>
      <c r="E11" s="10" t="s">
        <v>345</v>
      </c>
      <c r="F11" s="14"/>
      <c r="G11" s="9" t="s">
        <v>53</v>
      </c>
      <c r="H11" s="10" t="s">
        <v>345</v>
      </c>
      <c r="I11" s="14"/>
      <c r="J11" s="9" t="s">
        <v>54</v>
      </c>
      <c r="K11" s="10" t="s">
        <v>345</v>
      </c>
      <c r="L11" s="14"/>
      <c r="M11" s="12" t="s">
        <v>55</v>
      </c>
      <c r="N11" s="10">
        <v>10.0</v>
      </c>
      <c r="O11" s="14" t="s">
        <v>9</v>
      </c>
      <c r="P11" s="1" t="s">
        <v>56</v>
      </c>
      <c r="Q11" s="10">
        <v>17.0</v>
      </c>
      <c r="R11" s="14" t="s">
        <v>9</v>
      </c>
      <c r="S11" s="5" t="s">
        <v>57</v>
      </c>
      <c r="T11" s="9"/>
      <c r="U11" s="9"/>
      <c r="V11" s="100"/>
      <c r="W11" s="101">
        <v>51.0</v>
      </c>
      <c r="X11" s="100"/>
      <c r="Y11" s="100"/>
      <c r="Z11" s="101">
        <v>36.0</v>
      </c>
    </row>
    <row r="12" ht="12.75" customHeight="1">
      <c r="A12" s="9"/>
      <c r="B12" s="10">
        <v>2.0</v>
      </c>
      <c r="C12" s="14" t="s">
        <v>9</v>
      </c>
      <c r="D12" s="1" t="s">
        <v>58</v>
      </c>
      <c r="E12" s="10">
        <v>0.0</v>
      </c>
      <c r="F12" s="14" t="s">
        <v>9</v>
      </c>
      <c r="G12" s="1" t="s">
        <v>59</v>
      </c>
      <c r="H12" s="10">
        <v>0.0</v>
      </c>
      <c r="I12" s="14" t="s">
        <v>9</v>
      </c>
      <c r="J12" s="5" t="s">
        <v>60</v>
      </c>
      <c r="K12" s="10">
        <v>0.0</v>
      </c>
      <c r="L12" s="14" t="s">
        <v>9</v>
      </c>
      <c r="M12" s="1" t="s">
        <v>61</v>
      </c>
      <c r="N12" s="10" t="s">
        <v>345</v>
      </c>
      <c r="O12" s="14"/>
      <c r="P12" s="9" t="s">
        <v>62</v>
      </c>
      <c r="Q12" s="10">
        <v>6.0</v>
      </c>
      <c r="R12" s="14" t="s">
        <v>9</v>
      </c>
      <c r="S12" s="1" t="s">
        <v>63</v>
      </c>
      <c r="T12" s="9"/>
      <c r="U12" s="9"/>
      <c r="V12" s="100"/>
      <c r="W12" s="101"/>
      <c r="X12" s="100"/>
      <c r="Y12" s="100"/>
      <c r="Z12" s="101"/>
    </row>
    <row r="13" ht="12.75" customHeight="1">
      <c r="A13" s="9"/>
      <c r="B13" s="10">
        <v>12.0</v>
      </c>
      <c r="C13" s="14" t="s">
        <v>9</v>
      </c>
      <c r="D13" s="5" t="s">
        <v>64</v>
      </c>
      <c r="E13" s="10" t="s">
        <v>345</v>
      </c>
      <c r="F13" s="14"/>
      <c r="G13" s="12" t="s">
        <v>65</v>
      </c>
      <c r="H13" s="10" t="s">
        <v>345</v>
      </c>
      <c r="I13" s="14"/>
      <c r="J13" s="12" t="s">
        <v>66</v>
      </c>
      <c r="K13" s="10" t="s">
        <v>345</v>
      </c>
      <c r="L13" s="14"/>
      <c r="M13" s="9" t="s">
        <v>67</v>
      </c>
      <c r="N13" s="10">
        <v>0.0</v>
      </c>
      <c r="O13" s="14" t="s">
        <v>9</v>
      </c>
      <c r="P13" s="5" t="s">
        <v>68</v>
      </c>
      <c r="Q13" s="10" t="s">
        <v>345</v>
      </c>
      <c r="R13" s="14"/>
      <c r="S13" s="17" t="s">
        <v>69</v>
      </c>
      <c r="T13" s="9"/>
      <c r="U13" s="9"/>
      <c r="V13" s="98" t="s">
        <v>319</v>
      </c>
      <c r="W13" s="99"/>
      <c r="X13" s="98"/>
      <c r="Y13" s="98" t="s">
        <v>302</v>
      </c>
      <c r="Z13" s="99"/>
    </row>
    <row r="14" ht="12.75" customHeight="1">
      <c r="A14" s="9"/>
      <c r="B14" s="10" t="s">
        <v>345</v>
      </c>
      <c r="C14" s="14"/>
      <c r="D14" s="12" t="s">
        <v>70</v>
      </c>
      <c r="E14" s="10">
        <v>6.0</v>
      </c>
      <c r="F14" s="14" t="s">
        <v>9</v>
      </c>
      <c r="G14" s="5" t="s">
        <v>71</v>
      </c>
      <c r="H14" s="10">
        <v>6.0</v>
      </c>
      <c r="I14" s="14" t="s">
        <v>9</v>
      </c>
      <c r="J14" s="5" t="s">
        <v>72</v>
      </c>
      <c r="K14" s="10">
        <v>0.0</v>
      </c>
      <c r="L14" s="14" t="s">
        <v>9</v>
      </c>
      <c r="M14" s="5" t="s">
        <v>73</v>
      </c>
      <c r="N14" s="10" t="s">
        <v>345</v>
      </c>
      <c r="O14" s="14"/>
      <c r="P14" s="12" t="s">
        <v>74</v>
      </c>
      <c r="Q14" s="10" t="s">
        <v>345</v>
      </c>
      <c r="R14" s="14"/>
      <c r="S14" s="12" t="s">
        <v>75</v>
      </c>
      <c r="T14" s="9"/>
      <c r="U14" s="9"/>
      <c r="V14" s="100" t="s">
        <v>21</v>
      </c>
      <c r="W14" s="101">
        <v>3.0</v>
      </c>
      <c r="X14" s="100"/>
      <c r="Y14" s="100" t="s">
        <v>20</v>
      </c>
      <c r="Z14" s="101">
        <v>3.0</v>
      </c>
    </row>
    <row r="15" ht="12.75" customHeight="1">
      <c r="A15" s="9"/>
      <c r="B15" s="10"/>
      <c r="C15" s="3"/>
      <c r="D15" s="9"/>
      <c r="E15" s="10"/>
      <c r="F15" s="3"/>
      <c r="G15" s="9"/>
      <c r="H15" s="10" t="s">
        <v>345</v>
      </c>
      <c r="I15" s="3"/>
      <c r="J15" s="9"/>
      <c r="K15" s="10"/>
      <c r="L15" s="3"/>
      <c r="M15" s="9"/>
      <c r="N15" s="10"/>
      <c r="O15" s="3"/>
      <c r="P15" s="9"/>
      <c r="Q15" s="10"/>
      <c r="R15" s="3"/>
      <c r="S15" s="9"/>
      <c r="T15" s="9"/>
      <c r="U15" s="9"/>
      <c r="V15" s="100" t="s">
        <v>28</v>
      </c>
      <c r="W15" s="101">
        <v>26.0</v>
      </c>
      <c r="X15" s="100"/>
      <c r="Y15" s="100" t="s">
        <v>33</v>
      </c>
      <c r="Z15" s="101">
        <v>8.0</v>
      </c>
    </row>
    <row r="16" ht="12.75" customHeight="1">
      <c r="A16" s="9" t="s">
        <v>76</v>
      </c>
      <c r="B16" s="10">
        <v>0.0</v>
      </c>
      <c r="C16" s="14" t="s">
        <v>9</v>
      </c>
      <c r="D16" s="1" t="s">
        <v>77</v>
      </c>
      <c r="E16" s="10" t="s">
        <v>345</v>
      </c>
      <c r="F16" s="14"/>
      <c r="G16" s="12" t="s">
        <v>78</v>
      </c>
      <c r="H16" s="10" t="s">
        <v>345</v>
      </c>
      <c r="I16" s="14"/>
      <c r="J16" s="9" t="s">
        <v>79</v>
      </c>
      <c r="K16" s="10">
        <v>0.0</v>
      </c>
      <c r="L16" s="14" t="s">
        <v>9</v>
      </c>
      <c r="M16" s="1" t="s">
        <v>80</v>
      </c>
      <c r="N16" s="10" t="s">
        <v>345</v>
      </c>
      <c r="O16" s="14"/>
      <c r="P16" s="12" t="s">
        <v>81</v>
      </c>
      <c r="Q16" s="10">
        <v>2.0</v>
      </c>
      <c r="R16" s="14" t="s">
        <v>9</v>
      </c>
      <c r="S16" s="1" t="s">
        <v>82</v>
      </c>
      <c r="T16" s="9"/>
      <c r="U16" s="9"/>
      <c r="V16" s="100" t="s">
        <v>34</v>
      </c>
      <c r="W16" s="101">
        <v>0.0</v>
      </c>
      <c r="X16" s="100"/>
      <c r="Y16" s="100" t="s">
        <v>39</v>
      </c>
      <c r="Z16" s="101">
        <v>0.0</v>
      </c>
    </row>
    <row r="17" ht="12.75" customHeight="1">
      <c r="A17" s="9"/>
      <c r="B17" s="10" t="s">
        <v>345</v>
      </c>
      <c r="C17" s="14"/>
      <c r="D17" s="12" t="s">
        <v>83</v>
      </c>
      <c r="E17" s="10">
        <v>2.0</v>
      </c>
      <c r="F17" s="14" t="s">
        <v>9</v>
      </c>
      <c r="G17" s="1" t="s">
        <v>84</v>
      </c>
      <c r="H17" s="10">
        <v>0.0</v>
      </c>
      <c r="I17" s="14" t="s">
        <v>9</v>
      </c>
      <c r="J17" s="1" t="s">
        <v>85</v>
      </c>
      <c r="K17" s="10" t="s">
        <v>345</v>
      </c>
      <c r="L17" s="14"/>
      <c r="M17" s="12" t="s">
        <v>86</v>
      </c>
      <c r="N17" s="10">
        <v>0.0</v>
      </c>
      <c r="O17" s="14" t="s">
        <v>9</v>
      </c>
      <c r="P17" s="1" t="s">
        <v>87</v>
      </c>
      <c r="Q17" s="10" t="s">
        <v>345</v>
      </c>
      <c r="R17" s="14"/>
      <c r="S17" s="12" t="s">
        <v>88</v>
      </c>
      <c r="T17" s="9"/>
      <c r="U17" s="9"/>
      <c r="V17" s="100" t="s">
        <v>59</v>
      </c>
      <c r="W17" s="101">
        <v>0.0</v>
      </c>
      <c r="X17" s="100"/>
      <c r="Y17" s="100" t="s">
        <v>58</v>
      </c>
      <c r="Z17" s="101">
        <v>2.0</v>
      </c>
    </row>
    <row r="18" ht="12.75" customHeight="1">
      <c r="A18" s="9"/>
      <c r="B18" s="10" t="s">
        <v>345</v>
      </c>
      <c r="C18" s="14"/>
      <c r="D18" s="12" t="s">
        <v>89</v>
      </c>
      <c r="E18" s="10" t="s">
        <v>345</v>
      </c>
      <c r="F18" s="14"/>
      <c r="G18" s="12" t="s">
        <v>90</v>
      </c>
      <c r="H18" s="10" t="s">
        <v>345</v>
      </c>
      <c r="I18" s="14"/>
      <c r="J18" s="12" t="s">
        <v>91</v>
      </c>
      <c r="K18" s="10" t="s">
        <v>345</v>
      </c>
      <c r="L18" s="14"/>
      <c r="M18" s="9" t="s">
        <v>92</v>
      </c>
      <c r="N18" s="10" t="s">
        <v>345</v>
      </c>
      <c r="O18" s="14"/>
      <c r="P18" s="12" t="s">
        <v>93</v>
      </c>
      <c r="Q18" s="10" t="s">
        <v>345</v>
      </c>
      <c r="R18" s="14"/>
      <c r="S18" s="12" t="s">
        <v>94</v>
      </c>
      <c r="T18" s="9"/>
      <c r="U18" s="9"/>
      <c r="V18" s="100" t="s">
        <v>71</v>
      </c>
      <c r="W18" s="101">
        <v>6.0</v>
      </c>
      <c r="X18" s="100"/>
      <c r="Y18" s="100" t="s">
        <v>64</v>
      </c>
      <c r="Z18" s="101">
        <v>12.0</v>
      </c>
    </row>
    <row r="19" ht="12.75" customHeight="1">
      <c r="A19" s="9"/>
      <c r="B19" s="10"/>
      <c r="C19" s="3"/>
      <c r="D19" s="9"/>
      <c r="E19" s="10"/>
      <c r="F19" s="3"/>
      <c r="G19" s="9"/>
      <c r="H19" s="10" t="s">
        <v>345</v>
      </c>
      <c r="I19" s="3"/>
      <c r="J19" s="9" t="s">
        <v>95</v>
      </c>
      <c r="K19" s="10"/>
      <c r="L19" s="3"/>
      <c r="M19" s="9"/>
      <c r="N19" s="10"/>
      <c r="O19" s="3"/>
      <c r="P19" s="9"/>
      <c r="Q19" s="10"/>
      <c r="R19" s="3"/>
      <c r="S19" s="9"/>
      <c r="T19" s="9"/>
      <c r="U19" s="9"/>
      <c r="V19" s="100" t="s">
        <v>84</v>
      </c>
      <c r="W19" s="101">
        <v>2.0</v>
      </c>
      <c r="X19" s="100"/>
      <c r="Y19" s="100" t="s">
        <v>77</v>
      </c>
      <c r="Z19" s="101">
        <v>0.0</v>
      </c>
    </row>
    <row r="20" ht="12.75" customHeight="1">
      <c r="A20" s="9" t="s">
        <v>96</v>
      </c>
      <c r="B20" s="10">
        <v>1.0</v>
      </c>
      <c r="C20" s="14" t="s">
        <v>9</v>
      </c>
      <c r="D20" s="5" t="s">
        <v>97</v>
      </c>
      <c r="E20" s="10">
        <v>4.0</v>
      </c>
      <c r="F20" s="14" t="s">
        <v>9</v>
      </c>
      <c r="G20" s="5" t="s">
        <v>98</v>
      </c>
      <c r="H20" s="10" t="s">
        <v>345</v>
      </c>
      <c r="I20" s="14"/>
      <c r="J20" s="9" t="s">
        <v>99</v>
      </c>
      <c r="K20" s="10">
        <v>4.0</v>
      </c>
      <c r="L20" s="14" t="s">
        <v>9</v>
      </c>
      <c r="M20" s="5" t="s">
        <v>100</v>
      </c>
      <c r="N20" s="10">
        <v>7.0</v>
      </c>
      <c r="O20" s="14" t="s">
        <v>9</v>
      </c>
      <c r="P20" s="1" t="s">
        <v>101</v>
      </c>
      <c r="Q20" s="10" t="s">
        <v>345</v>
      </c>
      <c r="R20" s="14"/>
      <c r="S20" s="12" t="s">
        <v>102</v>
      </c>
      <c r="T20" s="9"/>
      <c r="U20" s="9"/>
      <c r="V20" s="100" t="s">
        <v>98</v>
      </c>
      <c r="W20" s="101">
        <v>4.0</v>
      </c>
      <c r="X20" s="100"/>
      <c r="Y20" s="100" t="s">
        <v>97</v>
      </c>
      <c r="Z20" s="101">
        <v>1.0</v>
      </c>
    </row>
    <row r="21" ht="12.75" customHeight="1">
      <c r="A21" s="9"/>
      <c r="B21" s="10" t="s">
        <v>345</v>
      </c>
      <c r="C21" s="14"/>
      <c r="D21" s="9" t="s">
        <v>103</v>
      </c>
      <c r="E21" s="10" t="s">
        <v>345</v>
      </c>
      <c r="F21" s="14"/>
      <c r="G21" s="12" t="s">
        <v>104</v>
      </c>
      <c r="H21" s="10">
        <v>6.0</v>
      </c>
      <c r="I21" s="14" t="s">
        <v>9</v>
      </c>
      <c r="J21" s="4" t="s">
        <v>382</v>
      </c>
      <c r="K21" s="10" t="s">
        <v>345</v>
      </c>
      <c r="L21" s="14"/>
      <c r="M21" s="9" t="s">
        <v>106</v>
      </c>
      <c r="N21" s="10" t="s">
        <v>345</v>
      </c>
      <c r="O21" s="14"/>
      <c r="P21" s="18" t="s">
        <v>107</v>
      </c>
      <c r="Q21" s="10">
        <v>10.0</v>
      </c>
      <c r="R21" s="14" t="s">
        <v>9</v>
      </c>
      <c r="S21" s="1" t="s">
        <v>108</v>
      </c>
      <c r="T21" s="9"/>
      <c r="U21" s="9"/>
      <c r="V21" s="100" t="s">
        <v>111</v>
      </c>
      <c r="W21" s="101">
        <v>14.0</v>
      </c>
      <c r="X21" s="100"/>
      <c r="Y21" s="100" t="s">
        <v>110</v>
      </c>
      <c r="Z21" s="101">
        <v>11.0</v>
      </c>
    </row>
    <row r="22" ht="12.75" customHeight="1">
      <c r="A22" s="9"/>
      <c r="B22" s="10"/>
      <c r="C22" s="3"/>
      <c r="D22" s="9"/>
      <c r="E22" s="10"/>
      <c r="F22" s="3"/>
      <c r="G22" s="9"/>
      <c r="H22" s="10" t="s">
        <v>345</v>
      </c>
      <c r="I22" s="3"/>
      <c r="J22" s="9"/>
      <c r="K22" s="10"/>
      <c r="L22" s="3"/>
      <c r="M22" s="9"/>
      <c r="N22" s="10"/>
      <c r="O22" s="3"/>
      <c r="P22" s="9"/>
      <c r="Q22" s="10"/>
      <c r="R22" s="3"/>
      <c r="S22" s="9"/>
      <c r="T22" s="9"/>
      <c r="U22" s="9"/>
      <c r="V22" s="100" t="s">
        <v>130</v>
      </c>
      <c r="W22" s="101">
        <v>6.0</v>
      </c>
      <c r="X22" s="100"/>
      <c r="Y22" s="100" t="s">
        <v>123</v>
      </c>
      <c r="Z22" s="101">
        <v>4.0</v>
      </c>
    </row>
    <row r="23" ht="12.75" customHeight="1">
      <c r="A23" s="9" t="s">
        <v>109</v>
      </c>
      <c r="B23" s="10">
        <v>11.0</v>
      </c>
      <c r="C23" s="14" t="s">
        <v>9</v>
      </c>
      <c r="D23" s="1" t="s">
        <v>110</v>
      </c>
      <c r="E23" s="10">
        <v>14.0</v>
      </c>
      <c r="F23" s="14" t="s">
        <v>9</v>
      </c>
      <c r="G23" s="5" t="s">
        <v>111</v>
      </c>
      <c r="H23" s="10" t="s">
        <v>345</v>
      </c>
      <c r="I23" s="14"/>
      <c r="J23" s="9" t="s">
        <v>112</v>
      </c>
      <c r="K23" s="10" t="s">
        <v>345</v>
      </c>
      <c r="L23" s="14"/>
      <c r="M23" s="9" t="s">
        <v>113</v>
      </c>
      <c r="N23" s="10" t="s">
        <v>345</v>
      </c>
      <c r="O23" s="14"/>
      <c r="P23" s="9" t="s">
        <v>114</v>
      </c>
      <c r="Q23" s="10" t="s">
        <v>345</v>
      </c>
      <c r="R23" s="14"/>
      <c r="S23" s="12" t="s">
        <v>115</v>
      </c>
      <c r="T23" s="9"/>
      <c r="U23" s="9"/>
      <c r="V23" s="100"/>
      <c r="W23" s="101">
        <v>61.0</v>
      </c>
      <c r="X23" s="100"/>
      <c r="Y23" s="100"/>
      <c r="Z23" s="101">
        <v>41.0</v>
      </c>
    </row>
    <row r="24" ht="12.75" customHeight="1">
      <c r="A24" s="9"/>
      <c r="B24" s="10" t="s">
        <v>345</v>
      </c>
      <c r="C24" s="14"/>
      <c r="D24" s="9" t="s">
        <v>116</v>
      </c>
      <c r="E24" s="10" t="s">
        <v>345</v>
      </c>
      <c r="F24" s="14"/>
      <c r="G24" s="12" t="s">
        <v>117</v>
      </c>
      <c r="H24" s="10">
        <v>4.0</v>
      </c>
      <c r="I24" s="14" t="s">
        <v>9</v>
      </c>
      <c r="J24" s="1" t="s">
        <v>118</v>
      </c>
      <c r="K24" s="10">
        <v>6.0</v>
      </c>
      <c r="L24" s="14" t="s">
        <v>9</v>
      </c>
      <c r="M24" s="5" t="s">
        <v>119</v>
      </c>
      <c r="N24" s="10">
        <v>7.0</v>
      </c>
      <c r="O24" s="14" t="s">
        <v>9</v>
      </c>
      <c r="P24" s="1" t="s">
        <v>120</v>
      </c>
      <c r="Q24" s="10">
        <v>4.0</v>
      </c>
      <c r="R24" s="14" t="s">
        <v>9</v>
      </c>
      <c r="S24" s="5" t="s">
        <v>121</v>
      </c>
      <c r="T24" s="9"/>
      <c r="U24" s="9"/>
      <c r="V24" s="100"/>
      <c r="W24" s="101"/>
      <c r="X24" s="100"/>
      <c r="Y24" s="100"/>
      <c r="Z24" s="101"/>
    </row>
    <row r="25" ht="12.75" customHeight="1">
      <c r="A25" s="9"/>
      <c r="B25" s="10"/>
      <c r="C25" s="3"/>
      <c r="D25" s="9"/>
      <c r="E25" s="10"/>
      <c r="F25" s="3"/>
      <c r="G25" s="9"/>
      <c r="H25" s="10" t="s">
        <v>345</v>
      </c>
      <c r="I25" s="3"/>
      <c r="J25" s="9"/>
      <c r="K25" s="10"/>
      <c r="L25" s="3"/>
      <c r="M25" s="9"/>
      <c r="N25" s="10"/>
      <c r="O25" s="3"/>
      <c r="P25" s="9"/>
      <c r="Q25" s="10"/>
      <c r="R25" s="3"/>
      <c r="S25" s="9"/>
      <c r="T25" s="9"/>
      <c r="U25" s="9"/>
      <c r="V25" s="98" t="s">
        <v>321</v>
      </c>
      <c r="W25" s="99"/>
      <c r="X25" s="98"/>
      <c r="Y25" s="98" t="s">
        <v>324</v>
      </c>
      <c r="Z25" s="99"/>
    </row>
    <row r="26" ht="12.75" customHeight="1">
      <c r="A26" s="9" t="s">
        <v>122</v>
      </c>
      <c r="B26" s="10">
        <v>4.0</v>
      </c>
      <c r="C26" s="120" t="s">
        <v>9</v>
      </c>
      <c r="D26" s="5" t="s">
        <v>123</v>
      </c>
      <c r="E26" s="10" t="s">
        <v>345</v>
      </c>
      <c r="F26" s="14"/>
      <c r="G26" s="12" t="s">
        <v>124</v>
      </c>
      <c r="H26" s="10">
        <v>4.0</v>
      </c>
      <c r="I26" s="14" t="s">
        <v>9</v>
      </c>
      <c r="J26" s="1" t="s">
        <v>125</v>
      </c>
      <c r="K26" s="10">
        <v>4.0</v>
      </c>
      <c r="L26" s="14" t="s">
        <v>9</v>
      </c>
      <c r="M26" s="1" t="s">
        <v>126</v>
      </c>
      <c r="N26" s="10" t="s">
        <v>345</v>
      </c>
      <c r="O26" s="14"/>
      <c r="P26" s="9" t="s">
        <v>127</v>
      </c>
      <c r="Q26" s="10">
        <v>0.0</v>
      </c>
      <c r="R26" s="14" t="s">
        <v>9</v>
      </c>
      <c r="S26" s="5" t="s">
        <v>128</v>
      </c>
      <c r="T26" s="9"/>
      <c r="U26" s="9"/>
      <c r="V26" s="100" t="s">
        <v>11</v>
      </c>
      <c r="W26" s="101">
        <v>21.0</v>
      </c>
      <c r="X26" s="100"/>
      <c r="Y26" s="100" t="s">
        <v>163</v>
      </c>
      <c r="Z26" s="101">
        <v>22.0</v>
      </c>
    </row>
    <row r="27" ht="12.75" customHeight="1">
      <c r="A27" s="9"/>
      <c r="B27" s="10" t="s">
        <v>345</v>
      </c>
      <c r="C27" s="14"/>
      <c r="D27" s="9" t="s">
        <v>129</v>
      </c>
      <c r="E27" s="10">
        <v>6.0</v>
      </c>
      <c r="F27" s="14" t="s">
        <v>9</v>
      </c>
      <c r="G27" s="1" t="s">
        <v>130</v>
      </c>
      <c r="H27" s="10" t="s">
        <v>345</v>
      </c>
      <c r="I27" s="14"/>
      <c r="J27" s="12" t="s">
        <v>131</v>
      </c>
      <c r="K27" s="10" t="s">
        <v>345</v>
      </c>
      <c r="L27" s="14"/>
      <c r="M27" s="9" t="s">
        <v>132</v>
      </c>
      <c r="N27" s="10">
        <v>5.0</v>
      </c>
      <c r="O27" s="14" t="s">
        <v>9</v>
      </c>
      <c r="P27" s="5" t="s">
        <v>133</v>
      </c>
      <c r="Q27" s="10" t="s">
        <v>345</v>
      </c>
      <c r="R27" s="14"/>
      <c r="S27" s="9" t="s">
        <v>134</v>
      </c>
      <c r="T27" s="9"/>
      <c r="U27" s="9"/>
      <c r="V27" s="100" t="s">
        <v>42</v>
      </c>
      <c r="W27" s="101">
        <v>0.0</v>
      </c>
      <c r="X27" s="100"/>
      <c r="Y27" s="100" t="s">
        <v>169</v>
      </c>
      <c r="Z27" s="101">
        <v>0.0</v>
      </c>
    </row>
    <row r="28" ht="12.75" customHeight="1">
      <c r="A28" s="9"/>
      <c r="B28" s="2"/>
      <c r="C28" s="3"/>
      <c r="D28" s="9"/>
      <c r="E28" s="10"/>
      <c r="F28" s="3"/>
      <c r="G28" s="9"/>
      <c r="H28" s="10"/>
      <c r="I28" s="3"/>
      <c r="J28" s="9"/>
      <c r="K28" s="10"/>
      <c r="L28" s="3"/>
      <c r="M28" s="9"/>
      <c r="N28" s="10"/>
      <c r="O28" s="3"/>
      <c r="P28" s="12" t="s">
        <v>95</v>
      </c>
      <c r="Q28" s="10"/>
      <c r="R28" s="3"/>
      <c r="S28" s="9"/>
      <c r="T28" s="9"/>
      <c r="U28" s="9"/>
      <c r="V28" s="100" t="s">
        <v>48</v>
      </c>
      <c r="W28" s="101">
        <v>0.0</v>
      </c>
      <c r="X28" s="100"/>
      <c r="Y28" s="100" t="s">
        <v>187</v>
      </c>
      <c r="Z28" s="101">
        <v>2.0</v>
      </c>
    </row>
    <row r="29" ht="12.75" customHeight="1">
      <c r="A29" s="19"/>
      <c r="B29" s="20"/>
      <c r="C29" s="21"/>
      <c r="D29" s="22">
        <v>41.0</v>
      </c>
      <c r="E29" s="20"/>
      <c r="F29" s="21"/>
      <c r="G29" s="22">
        <v>61.0</v>
      </c>
      <c r="H29" s="20"/>
      <c r="I29" s="21"/>
      <c r="J29" s="23">
        <v>42.0</v>
      </c>
      <c r="K29" s="20"/>
      <c r="L29" s="21"/>
      <c r="M29" s="22">
        <v>35.0</v>
      </c>
      <c r="N29" s="20"/>
      <c r="O29" s="21"/>
      <c r="P29" s="22">
        <v>36.0</v>
      </c>
      <c r="Q29" s="20"/>
      <c r="R29" s="21"/>
      <c r="S29" s="22">
        <v>59.0</v>
      </c>
      <c r="T29" s="19"/>
      <c r="U29" s="19"/>
      <c r="V29" s="100" t="s">
        <v>61</v>
      </c>
      <c r="W29" s="101">
        <v>0.0</v>
      </c>
      <c r="X29" s="100"/>
      <c r="Y29" s="100" t="s">
        <v>193</v>
      </c>
      <c r="Z29" s="101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6"/>
      <c r="S30" s="9"/>
      <c r="T30" s="9"/>
      <c r="U30" s="9"/>
      <c r="V30" s="100" t="s">
        <v>73</v>
      </c>
      <c r="W30" s="101">
        <v>0.0</v>
      </c>
      <c r="X30" s="100"/>
      <c r="Y30" s="100" t="s">
        <v>205</v>
      </c>
      <c r="Z30" s="101">
        <v>2.0</v>
      </c>
    </row>
    <row r="31" ht="12.75" customHeight="1">
      <c r="A31" s="9" t="s">
        <v>135</v>
      </c>
      <c r="B31" s="2"/>
      <c r="C31" s="3"/>
      <c r="D31" s="9" t="s">
        <v>136</v>
      </c>
      <c r="E31" s="2"/>
      <c r="F31" s="6"/>
      <c r="G31" s="9" t="s">
        <v>137</v>
      </c>
      <c r="H31" s="2"/>
      <c r="I31" s="6"/>
      <c r="J31" s="9" t="s">
        <v>138</v>
      </c>
      <c r="K31" s="2"/>
      <c r="L31" s="6"/>
      <c r="M31" s="9" t="s">
        <v>139</v>
      </c>
      <c r="N31" s="2"/>
      <c r="O31" s="6"/>
      <c r="P31" s="9" t="s">
        <v>140</v>
      </c>
      <c r="Q31" s="2"/>
      <c r="R31" s="6"/>
      <c r="S31" s="9" t="s">
        <v>141</v>
      </c>
      <c r="T31" s="9"/>
      <c r="U31" s="9"/>
      <c r="V31" s="100" t="s">
        <v>80</v>
      </c>
      <c r="W31" s="101">
        <v>0.0</v>
      </c>
      <c r="X31" s="100"/>
      <c r="Y31" s="100" t="s">
        <v>223</v>
      </c>
      <c r="Z31" s="101">
        <v>6.0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142</v>
      </c>
      <c r="Q32" s="2"/>
      <c r="R32" s="6"/>
      <c r="S32" s="9"/>
      <c r="T32" s="9"/>
      <c r="U32" s="9"/>
      <c r="V32" s="100" t="s">
        <v>100</v>
      </c>
      <c r="W32" s="101">
        <v>4.0</v>
      </c>
      <c r="X32" s="100"/>
      <c r="Y32" s="100" t="s">
        <v>235</v>
      </c>
      <c r="Z32" s="101">
        <v>10.0</v>
      </c>
    </row>
    <row r="33" ht="12.75" customHeight="1">
      <c r="A33" s="9"/>
      <c r="B33" s="2"/>
      <c r="C33" s="3"/>
      <c r="D33" s="25"/>
      <c r="E33" s="26"/>
      <c r="F33" s="26"/>
      <c r="G33" s="25"/>
      <c r="H33" s="26"/>
      <c r="I33" s="26"/>
      <c r="J33" s="25"/>
      <c r="K33" s="25"/>
      <c r="L33" s="26"/>
      <c r="M33" s="25"/>
      <c r="P33" s="25"/>
      <c r="R33" s="3"/>
      <c r="S33" s="25"/>
      <c r="T33" s="6"/>
      <c r="U33" s="26"/>
      <c r="V33" s="103" t="s">
        <v>119</v>
      </c>
      <c r="W33" s="101">
        <v>6.0</v>
      </c>
      <c r="X33" s="100"/>
      <c r="Y33" s="100" t="s">
        <v>253</v>
      </c>
      <c r="Z33" s="101">
        <v>13.0</v>
      </c>
    </row>
    <row r="34" ht="12.75" customHeight="1">
      <c r="A34" s="9" t="s">
        <v>143</v>
      </c>
      <c r="B34" s="9"/>
      <c r="C34" s="3"/>
      <c r="D34" s="25"/>
      <c r="E34" s="26"/>
      <c r="F34" s="26"/>
      <c r="G34" s="25"/>
      <c r="H34" s="26"/>
      <c r="I34" s="26"/>
      <c r="J34" s="25"/>
      <c r="K34" s="25"/>
      <c r="L34" s="26"/>
      <c r="M34" s="25"/>
      <c r="P34" s="25"/>
      <c r="R34" s="3"/>
      <c r="S34" s="25"/>
      <c r="T34" s="6"/>
      <c r="U34" s="26"/>
      <c r="V34" s="103" t="s">
        <v>126</v>
      </c>
      <c r="W34" s="101">
        <v>4.0</v>
      </c>
      <c r="X34" s="100"/>
      <c r="Y34" s="100" t="s">
        <v>265</v>
      </c>
      <c r="Z34" s="101">
        <v>5.0</v>
      </c>
    </row>
    <row r="35" ht="12.75" customHeight="1">
      <c r="A35" s="9"/>
      <c r="B35" s="9"/>
      <c r="C35" s="3"/>
      <c r="D35" s="12"/>
      <c r="E35" s="26"/>
      <c r="F35" s="26"/>
      <c r="G35" s="12"/>
      <c r="H35" s="26"/>
      <c r="I35" s="26"/>
      <c r="J35" s="25"/>
      <c r="K35" s="25"/>
      <c r="L35" s="26"/>
      <c r="M35" s="25"/>
      <c r="P35" s="25"/>
      <c r="R35" s="3"/>
      <c r="S35" s="25"/>
      <c r="T35" s="6"/>
      <c r="U35" s="9"/>
      <c r="V35" s="103"/>
      <c r="W35" s="101">
        <v>35.0</v>
      </c>
      <c r="X35" s="100"/>
      <c r="Y35" s="100"/>
      <c r="Z35" s="101">
        <v>60.0</v>
      </c>
    </row>
    <row r="36" ht="12.75" customHeight="1">
      <c r="A36" s="9"/>
      <c r="B36" s="2"/>
      <c r="C36" s="3"/>
      <c r="D36" s="12"/>
      <c r="E36" s="2"/>
      <c r="F36" s="6"/>
      <c r="G36" s="12"/>
      <c r="H36" s="2"/>
      <c r="I36" s="6"/>
      <c r="J36" s="25"/>
      <c r="K36" s="9"/>
      <c r="L36" s="6"/>
      <c r="M36" s="25"/>
      <c r="N36" s="26"/>
      <c r="O36" s="26"/>
      <c r="P36" s="25"/>
      <c r="Q36" s="26"/>
      <c r="R36" s="3"/>
      <c r="S36" s="25"/>
      <c r="T36" s="6"/>
      <c r="U36" s="6"/>
      <c r="V36" s="100"/>
      <c r="W36" s="101"/>
      <c r="X36" s="100"/>
      <c r="Y36" s="100"/>
      <c r="Z36" s="101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6"/>
      <c r="S37" s="9"/>
      <c r="T37" s="9"/>
      <c r="U37" s="9"/>
      <c r="V37" s="98" t="s">
        <v>326</v>
      </c>
      <c r="W37" s="99"/>
      <c r="X37" s="98"/>
      <c r="Y37" s="98" t="s">
        <v>325</v>
      </c>
      <c r="Z37" s="99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6"/>
      <c r="S38" s="9"/>
      <c r="T38" s="9"/>
      <c r="U38" s="9"/>
      <c r="V38" s="100" t="s">
        <v>159</v>
      </c>
      <c r="W38" s="101">
        <v>14.0</v>
      </c>
      <c r="X38" s="100"/>
      <c r="Y38" s="100" t="s">
        <v>152</v>
      </c>
      <c r="Z38" s="101">
        <v>15.0</v>
      </c>
    </row>
    <row r="39" ht="12.75" customHeight="1">
      <c r="A39" s="1" t="s">
        <v>144</v>
      </c>
      <c r="B39" s="2"/>
      <c r="C39" s="3"/>
      <c r="D39" s="5" t="s">
        <v>145</v>
      </c>
      <c r="E39" s="2"/>
      <c r="F39" s="1"/>
      <c r="G39" s="5" t="s">
        <v>146</v>
      </c>
      <c r="H39" s="2"/>
      <c r="I39" s="1"/>
      <c r="J39" s="5" t="s">
        <v>147</v>
      </c>
      <c r="K39" s="2"/>
      <c r="L39" s="1"/>
      <c r="M39" s="5" t="s">
        <v>148</v>
      </c>
      <c r="N39" s="2"/>
      <c r="O39" s="1"/>
      <c r="P39" s="5" t="s">
        <v>149</v>
      </c>
      <c r="Q39" s="2"/>
      <c r="R39" s="6"/>
      <c r="S39" s="5" t="s">
        <v>150</v>
      </c>
      <c r="T39" s="1"/>
      <c r="U39" s="1"/>
      <c r="V39" s="100" t="s">
        <v>171</v>
      </c>
      <c r="W39" s="101">
        <v>4.0</v>
      </c>
      <c r="X39" s="100"/>
      <c r="Y39" s="100" t="s">
        <v>170</v>
      </c>
      <c r="Z39" s="101">
        <v>9.0</v>
      </c>
    </row>
    <row r="40" ht="12.75" customHeight="1">
      <c r="A40" s="9" t="s">
        <v>6</v>
      </c>
      <c r="B40" s="10" t="s">
        <v>345</v>
      </c>
      <c r="C40" s="14"/>
      <c r="D40" s="9" t="s">
        <v>151</v>
      </c>
      <c r="E40" s="10">
        <v>15.0</v>
      </c>
      <c r="F40" s="14" t="s">
        <v>9</v>
      </c>
      <c r="G40" s="1" t="s">
        <v>152</v>
      </c>
      <c r="H40" s="10" t="s">
        <v>345</v>
      </c>
      <c r="I40" s="14"/>
      <c r="J40" s="9" t="s">
        <v>153</v>
      </c>
      <c r="K40" s="10" t="s">
        <v>345</v>
      </c>
      <c r="L40" s="14"/>
      <c r="M40" s="9" t="s">
        <v>154</v>
      </c>
      <c r="N40" s="10">
        <v>6.0</v>
      </c>
      <c r="O40" s="14" t="s">
        <v>9</v>
      </c>
      <c r="P40" s="1" t="s">
        <v>155</v>
      </c>
      <c r="Q40" s="10" t="s">
        <v>345</v>
      </c>
      <c r="R40" s="14"/>
      <c r="S40" s="9" t="s">
        <v>156</v>
      </c>
      <c r="T40" s="9"/>
      <c r="U40" s="9"/>
      <c r="V40" s="100" t="s">
        <v>183</v>
      </c>
      <c r="W40" s="101">
        <v>9.0</v>
      </c>
      <c r="X40" s="100"/>
      <c r="Y40" s="100" t="s">
        <v>176</v>
      </c>
      <c r="Z40" s="101">
        <v>2.0</v>
      </c>
    </row>
    <row r="41" ht="12.75" customHeight="1">
      <c r="A41" s="9"/>
      <c r="B41" s="10" t="s">
        <v>345</v>
      </c>
      <c r="C41" s="14"/>
      <c r="D41" s="9" t="s">
        <v>157</v>
      </c>
      <c r="E41" s="10" t="s">
        <v>345</v>
      </c>
      <c r="F41" s="14"/>
      <c r="G41" s="9" t="s">
        <v>158</v>
      </c>
      <c r="H41" s="10">
        <v>14.0</v>
      </c>
      <c r="I41" s="14" t="s">
        <v>9</v>
      </c>
      <c r="J41" s="5" t="s">
        <v>159</v>
      </c>
      <c r="K41" s="10">
        <v>6.0</v>
      </c>
      <c r="L41" s="14" t="s">
        <v>9</v>
      </c>
      <c r="M41" s="1" t="s">
        <v>160</v>
      </c>
      <c r="N41" s="10" t="s">
        <v>345</v>
      </c>
      <c r="O41" s="14"/>
      <c r="P41" s="12" t="s">
        <v>161</v>
      </c>
      <c r="Q41" s="10">
        <v>14.0</v>
      </c>
      <c r="R41" s="14" t="s">
        <v>9</v>
      </c>
      <c r="S41" s="1" t="s">
        <v>162</v>
      </c>
      <c r="T41" s="9"/>
      <c r="U41" s="9"/>
      <c r="V41" s="100" t="s">
        <v>195</v>
      </c>
      <c r="W41" s="101">
        <v>0.0</v>
      </c>
      <c r="X41" s="100"/>
      <c r="Y41" s="100" t="s">
        <v>200</v>
      </c>
      <c r="Z41" s="101">
        <v>0.0</v>
      </c>
    </row>
    <row r="42" ht="12.75" customHeight="1">
      <c r="A42" s="9"/>
      <c r="B42" s="10">
        <v>22.0</v>
      </c>
      <c r="C42" s="14" t="s">
        <v>9</v>
      </c>
      <c r="D42" s="5" t="s">
        <v>163</v>
      </c>
      <c r="E42" s="10" t="s">
        <v>345</v>
      </c>
      <c r="F42" s="14"/>
      <c r="G42" s="12" t="s">
        <v>164</v>
      </c>
      <c r="H42" s="10" t="s">
        <v>345</v>
      </c>
      <c r="I42" s="14"/>
      <c r="J42" s="12" t="s">
        <v>165</v>
      </c>
      <c r="K42" s="10" t="s">
        <v>345</v>
      </c>
      <c r="L42" s="14"/>
      <c r="M42" s="12" t="s">
        <v>166</v>
      </c>
      <c r="N42" s="10" t="s">
        <v>345</v>
      </c>
      <c r="O42" s="14"/>
      <c r="P42" s="12" t="s">
        <v>167</v>
      </c>
      <c r="Q42" s="10" t="s">
        <v>345</v>
      </c>
      <c r="R42" s="14"/>
      <c r="S42" s="12" t="s">
        <v>168</v>
      </c>
      <c r="T42" s="9"/>
      <c r="U42" s="9"/>
      <c r="V42" s="18" t="s">
        <v>207</v>
      </c>
      <c r="W42" s="101">
        <v>9.0</v>
      </c>
      <c r="X42" s="100"/>
      <c r="Y42" s="100" t="s">
        <v>206</v>
      </c>
      <c r="Z42" s="101">
        <v>0.0</v>
      </c>
    </row>
    <row r="43" ht="12.75" customHeight="1">
      <c r="A43" s="9"/>
      <c r="B43" s="10"/>
      <c r="C43" s="3"/>
      <c r="D43" s="9"/>
      <c r="E43" s="10"/>
      <c r="F43" s="3"/>
      <c r="G43" s="9"/>
      <c r="H43" s="10"/>
      <c r="I43" s="3"/>
      <c r="J43" s="9"/>
      <c r="K43" s="10"/>
      <c r="L43" s="3"/>
      <c r="M43" s="9"/>
      <c r="N43" s="10"/>
      <c r="O43" s="3"/>
      <c r="P43" s="9"/>
      <c r="Q43" s="10"/>
      <c r="R43" s="3"/>
      <c r="S43" s="9"/>
      <c r="T43" s="9"/>
      <c r="U43" s="9"/>
      <c r="V43" s="100" t="s">
        <v>219</v>
      </c>
      <c r="W43" s="101">
        <v>2.0</v>
      </c>
      <c r="X43" s="100"/>
      <c r="Y43" s="100" t="s">
        <v>218</v>
      </c>
      <c r="Z43" s="101">
        <v>3.0</v>
      </c>
    </row>
    <row r="44" ht="12.75" customHeight="1">
      <c r="A44" s="9" t="s">
        <v>26</v>
      </c>
      <c r="B44" s="10">
        <v>0.0</v>
      </c>
      <c r="C44" s="14" t="s">
        <v>9</v>
      </c>
      <c r="D44" s="1" t="s">
        <v>169</v>
      </c>
      <c r="E44" s="10">
        <v>9.0</v>
      </c>
      <c r="F44" s="14" t="s">
        <v>9</v>
      </c>
      <c r="G44" s="1" t="s">
        <v>170</v>
      </c>
      <c r="H44" s="10">
        <v>4.0</v>
      </c>
      <c r="I44" s="14" t="s">
        <v>9</v>
      </c>
      <c r="J44" s="1" t="s">
        <v>171</v>
      </c>
      <c r="K44" s="10">
        <v>0.0</v>
      </c>
      <c r="L44" s="14" t="s">
        <v>9</v>
      </c>
      <c r="M44" s="1" t="s">
        <v>172</v>
      </c>
      <c r="N44" s="10">
        <v>3.0</v>
      </c>
      <c r="O44" s="14" t="s">
        <v>9</v>
      </c>
      <c r="P44" s="5" t="s">
        <v>173</v>
      </c>
      <c r="Q44" s="10">
        <v>0.0</v>
      </c>
      <c r="R44" s="14" t="s">
        <v>9</v>
      </c>
      <c r="S44" s="1" t="s">
        <v>174</v>
      </c>
      <c r="T44" s="9"/>
      <c r="U44" s="9"/>
      <c r="V44" s="100" t="s">
        <v>237</v>
      </c>
      <c r="W44" s="101">
        <v>10.0</v>
      </c>
      <c r="X44" s="100"/>
      <c r="Y44" s="100" t="s">
        <v>242</v>
      </c>
      <c r="Z44" s="101">
        <v>2.0</v>
      </c>
    </row>
    <row r="45" ht="12.75" customHeight="1">
      <c r="A45" s="9"/>
      <c r="B45" s="10" t="s">
        <v>345</v>
      </c>
      <c r="C45" s="14"/>
      <c r="D45" s="9" t="s">
        <v>175</v>
      </c>
      <c r="E45" s="10">
        <v>2.0</v>
      </c>
      <c r="F45" s="14" t="s">
        <v>9</v>
      </c>
      <c r="G45" s="1" t="s">
        <v>176</v>
      </c>
      <c r="H45" s="10" t="s">
        <v>345</v>
      </c>
      <c r="I45" s="14"/>
      <c r="J45" s="12" t="s">
        <v>177</v>
      </c>
      <c r="K45" s="10">
        <v>12.0</v>
      </c>
      <c r="L45" s="14" t="s">
        <v>9</v>
      </c>
      <c r="M45" s="1" t="s">
        <v>178</v>
      </c>
      <c r="N45" s="10">
        <v>0.0</v>
      </c>
      <c r="O45" s="14" t="s">
        <v>9</v>
      </c>
      <c r="P45" s="1" t="s">
        <v>179</v>
      </c>
      <c r="Q45" s="10">
        <v>8.0</v>
      </c>
      <c r="R45" s="14" t="s">
        <v>9</v>
      </c>
      <c r="S45" s="1" t="s">
        <v>180</v>
      </c>
      <c r="T45" s="9"/>
      <c r="U45" s="9"/>
      <c r="V45" s="100" t="s">
        <v>249</v>
      </c>
      <c r="W45" s="101">
        <v>5.0</v>
      </c>
      <c r="X45" s="100"/>
      <c r="Y45" s="100" t="s">
        <v>248</v>
      </c>
      <c r="Z45" s="101">
        <v>17.0</v>
      </c>
    </row>
    <row r="46" ht="12.75" customHeight="1">
      <c r="A46" s="9"/>
      <c r="B46" s="10" t="s">
        <v>345</v>
      </c>
      <c r="C46" s="14"/>
      <c r="D46" s="12" t="s">
        <v>181</v>
      </c>
      <c r="E46" s="10" t="s">
        <v>345</v>
      </c>
      <c r="F46" s="14"/>
      <c r="G46" s="9" t="s">
        <v>182</v>
      </c>
      <c r="H46" s="10">
        <v>9.0</v>
      </c>
      <c r="I46" s="14" t="s">
        <v>9</v>
      </c>
      <c r="J46" s="5" t="s">
        <v>183</v>
      </c>
      <c r="K46" s="10" t="s">
        <v>345</v>
      </c>
      <c r="L46" s="14"/>
      <c r="M46" s="12" t="s">
        <v>184</v>
      </c>
      <c r="N46" s="10" t="s">
        <v>345</v>
      </c>
      <c r="O46" s="14"/>
      <c r="P46" s="18" t="s">
        <v>185</v>
      </c>
      <c r="Q46" s="10" t="s">
        <v>345</v>
      </c>
      <c r="R46" s="14"/>
      <c r="S46" s="12" t="s">
        <v>186</v>
      </c>
      <c r="T46" s="9"/>
      <c r="U46" s="9"/>
      <c r="V46" s="100" t="s">
        <v>261</v>
      </c>
      <c r="W46" s="101">
        <v>0.0</v>
      </c>
      <c r="X46" s="100"/>
      <c r="Y46" s="100" t="s">
        <v>260</v>
      </c>
      <c r="Z46" s="101">
        <v>4.0</v>
      </c>
    </row>
    <row r="47" ht="12.75" customHeight="1">
      <c r="A47" s="9"/>
      <c r="B47" s="10">
        <v>2.0</v>
      </c>
      <c r="C47" s="14" t="s">
        <v>9</v>
      </c>
      <c r="D47" s="5" t="s">
        <v>187</v>
      </c>
      <c r="E47" s="10" t="s">
        <v>345</v>
      </c>
      <c r="F47" s="14"/>
      <c r="G47" s="12" t="s">
        <v>188</v>
      </c>
      <c r="H47" s="10" t="s">
        <v>345</v>
      </c>
      <c r="I47" s="14"/>
      <c r="J47" s="12" t="s">
        <v>189</v>
      </c>
      <c r="K47" s="10" t="s">
        <v>345</v>
      </c>
      <c r="L47" s="14"/>
      <c r="M47" s="12" t="s">
        <v>190</v>
      </c>
      <c r="N47" s="10" t="s">
        <v>345</v>
      </c>
      <c r="O47" s="14"/>
      <c r="P47" s="12" t="s">
        <v>191</v>
      </c>
      <c r="Q47" s="10" t="s">
        <v>345</v>
      </c>
      <c r="R47" s="14"/>
      <c r="S47" s="9" t="s">
        <v>192</v>
      </c>
      <c r="T47" s="9"/>
      <c r="U47" s="9"/>
      <c r="V47" s="100"/>
      <c r="W47" s="101">
        <v>53.0</v>
      </c>
      <c r="X47" s="100"/>
      <c r="Y47" s="100"/>
      <c r="Z47" s="101">
        <v>52.0</v>
      </c>
    </row>
    <row r="48" ht="12.75" customHeight="1">
      <c r="A48" s="9"/>
      <c r="B48" s="10"/>
      <c r="C48" s="3"/>
      <c r="D48" s="9"/>
      <c r="E48" s="10"/>
      <c r="F48" s="3"/>
      <c r="G48" s="9"/>
      <c r="H48" s="10"/>
      <c r="I48" s="3"/>
      <c r="J48" s="9"/>
      <c r="K48" s="10"/>
      <c r="L48" s="3"/>
      <c r="M48" s="9"/>
      <c r="N48" s="10"/>
      <c r="O48" s="3"/>
      <c r="P48" s="9"/>
      <c r="Q48" s="10"/>
      <c r="R48" s="3"/>
      <c r="S48" s="9"/>
      <c r="T48" s="9"/>
      <c r="U48" s="9"/>
      <c r="V48" s="100"/>
      <c r="W48" s="101"/>
      <c r="X48" s="100"/>
      <c r="Y48" s="100"/>
      <c r="Z48" s="101"/>
    </row>
    <row r="49" ht="12.75" customHeight="1">
      <c r="A49" s="9" t="s">
        <v>51</v>
      </c>
      <c r="B49" s="10">
        <v>0.0</v>
      </c>
      <c r="C49" s="14" t="s">
        <v>9</v>
      </c>
      <c r="D49" s="1" t="s">
        <v>193</v>
      </c>
      <c r="E49" s="10" t="s">
        <v>345</v>
      </c>
      <c r="F49" s="14"/>
      <c r="G49" s="9" t="s">
        <v>194</v>
      </c>
      <c r="H49" s="10">
        <v>0.0</v>
      </c>
      <c r="I49" s="14" t="s">
        <v>9</v>
      </c>
      <c r="J49" s="5" t="s">
        <v>195</v>
      </c>
      <c r="K49" s="10">
        <v>2.0</v>
      </c>
      <c r="L49" s="14" t="s">
        <v>9</v>
      </c>
      <c r="M49" s="1" t="s">
        <v>196</v>
      </c>
      <c r="N49" s="10" t="s">
        <v>345</v>
      </c>
      <c r="O49" s="14"/>
      <c r="P49" s="9" t="s">
        <v>197</v>
      </c>
      <c r="Q49" s="10" t="s">
        <v>345</v>
      </c>
      <c r="R49" s="14"/>
      <c r="S49" s="12" t="s">
        <v>198</v>
      </c>
      <c r="T49" s="9"/>
      <c r="U49" s="9"/>
      <c r="V49" s="98" t="s">
        <v>328</v>
      </c>
      <c r="W49" s="99"/>
      <c r="X49" s="98"/>
      <c r="Y49" s="98" t="s">
        <v>329</v>
      </c>
      <c r="Z49" s="99"/>
    </row>
    <row r="50" ht="12.75" customHeight="1">
      <c r="A50" s="9"/>
      <c r="B50" s="10" t="s">
        <v>345</v>
      </c>
      <c r="C50" s="14"/>
      <c r="D50" s="9" t="s">
        <v>199</v>
      </c>
      <c r="E50" s="10">
        <v>0.0</v>
      </c>
      <c r="F50" s="14" t="s">
        <v>9</v>
      </c>
      <c r="G50" s="5" t="s">
        <v>200</v>
      </c>
      <c r="H50" s="10" t="s">
        <v>345</v>
      </c>
      <c r="I50" s="14"/>
      <c r="J50" s="9" t="s">
        <v>201</v>
      </c>
      <c r="K50" s="10" t="s">
        <v>345</v>
      </c>
      <c r="L50" s="14"/>
      <c r="M50" s="9" t="s">
        <v>202</v>
      </c>
      <c r="N50" s="10">
        <v>2.0</v>
      </c>
      <c r="O50" s="14" t="s">
        <v>9</v>
      </c>
      <c r="P50" s="1" t="s">
        <v>203</v>
      </c>
      <c r="Q50" s="10">
        <v>0.0</v>
      </c>
      <c r="R50" s="14" t="s">
        <v>9</v>
      </c>
      <c r="S50" s="1" t="s">
        <v>204</v>
      </c>
      <c r="T50" s="9"/>
      <c r="U50" s="9"/>
      <c r="V50" s="100" t="s">
        <v>155</v>
      </c>
      <c r="W50" s="101">
        <v>6.0</v>
      </c>
      <c r="X50" s="100"/>
      <c r="Y50" s="100" t="s">
        <v>162</v>
      </c>
      <c r="Z50" s="101">
        <v>14.0</v>
      </c>
    </row>
    <row r="51" ht="12.75" customHeight="1">
      <c r="A51" s="9"/>
      <c r="B51" s="10">
        <v>2.0</v>
      </c>
      <c r="C51" s="14" t="s">
        <v>9</v>
      </c>
      <c r="D51" s="1" t="s">
        <v>205</v>
      </c>
      <c r="E51" s="10">
        <v>0.0</v>
      </c>
      <c r="F51" s="14" t="s">
        <v>9</v>
      </c>
      <c r="G51" s="1" t="s">
        <v>206</v>
      </c>
      <c r="H51" s="10">
        <v>9.0</v>
      </c>
      <c r="I51" s="14" t="s">
        <v>9</v>
      </c>
      <c r="J51" s="4" t="s">
        <v>207</v>
      </c>
      <c r="K51" s="10">
        <v>10.0</v>
      </c>
      <c r="L51" s="14" t="s">
        <v>9</v>
      </c>
      <c r="M51" s="1" t="s">
        <v>208</v>
      </c>
      <c r="N51" s="10">
        <v>0.0</v>
      </c>
      <c r="O51" s="14" t="s">
        <v>9</v>
      </c>
      <c r="P51" s="1" t="s">
        <v>209</v>
      </c>
      <c r="Q51" s="10">
        <v>0.0</v>
      </c>
      <c r="R51" s="14" t="s">
        <v>9</v>
      </c>
      <c r="S51" s="1" t="s">
        <v>210</v>
      </c>
      <c r="T51" s="9"/>
      <c r="U51" s="9"/>
      <c r="V51" s="100" t="s">
        <v>173</v>
      </c>
      <c r="W51" s="101">
        <v>3.0</v>
      </c>
      <c r="X51" s="100"/>
      <c r="Y51" s="100" t="s">
        <v>174</v>
      </c>
      <c r="Z51" s="101">
        <v>0.0</v>
      </c>
    </row>
    <row r="52" ht="12.75" customHeight="1">
      <c r="A52" s="9"/>
      <c r="B52" s="10" t="s">
        <v>345</v>
      </c>
      <c r="C52" s="14"/>
      <c r="D52" s="12" t="s">
        <v>211</v>
      </c>
      <c r="E52" s="10" t="s">
        <v>345</v>
      </c>
      <c r="F52" s="14"/>
      <c r="G52" s="17" t="s">
        <v>212</v>
      </c>
      <c r="H52" s="10" t="s">
        <v>345</v>
      </c>
      <c r="I52" s="14"/>
      <c r="J52" s="12" t="s">
        <v>213</v>
      </c>
      <c r="K52" s="10" t="s">
        <v>345</v>
      </c>
      <c r="L52" s="14"/>
      <c r="M52" s="12" t="s">
        <v>214</v>
      </c>
      <c r="N52" s="10" t="s">
        <v>345</v>
      </c>
      <c r="O52" s="14"/>
      <c r="P52" s="12" t="s">
        <v>215</v>
      </c>
      <c r="Q52" s="10" t="s">
        <v>345</v>
      </c>
      <c r="R52" s="14"/>
      <c r="S52" s="12" t="s">
        <v>216</v>
      </c>
      <c r="T52" s="9"/>
      <c r="U52" s="9"/>
      <c r="V52" s="100" t="s">
        <v>179</v>
      </c>
      <c r="W52" s="101">
        <v>0.0</v>
      </c>
      <c r="X52" s="100"/>
      <c r="Y52" s="100" t="s">
        <v>180</v>
      </c>
      <c r="Z52" s="101">
        <v>8.0</v>
      </c>
    </row>
    <row r="53" ht="12.75" customHeight="1">
      <c r="A53" s="9"/>
      <c r="B53" s="10"/>
      <c r="C53" s="3"/>
      <c r="D53" s="9"/>
      <c r="E53" s="10"/>
      <c r="F53" s="3"/>
      <c r="G53" s="9"/>
      <c r="H53" s="10"/>
      <c r="I53" s="3"/>
      <c r="J53" s="9"/>
      <c r="K53" s="10"/>
      <c r="L53" s="3"/>
      <c r="M53" s="9"/>
      <c r="N53" s="10"/>
      <c r="O53" s="3"/>
      <c r="P53" s="9"/>
      <c r="Q53" s="10"/>
      <c r="R53" s="3"/>
      <c r="S53" s="9"/>
      <c r="T53" s="9"/>
      <c r="U53" s="9"/>
      <c r="V53" s="100" t="s">
        <v>203</v>
      </c>
      <c r="W53" s="101">
        <v>2.0</v>
      </c>
      <c r="X53" s="100"/>
      <c r="Y53" s="100" t="s">
        <v>204</v>
      </c>
      <c r="Z53" s="101">
        <v>0.0</v>
      </c>
    </row>
    <row r="54" ht="12.75" customHeight="1">
      <c r="A54" s="9" t="s">
        <v>76</v>
      </c>
      <c r="B54" s="10" t="s">
        <v>345</v>
      </c>
      <c r="C54" s="14"/>
      <c r="D54" s="9" t="s">
        <v>217</v>
      </c>
      <c r="E54" s="10">
        <v>3.0</v>
      </c>
      <c r="F54" s="14" t="s">
        <v>9</v>
      </c>
      <c r="G54" s="1" t="s">
        <v>218</v>
      </c>
      <c r="H54" s="10">
        <v>2.0</v>
      </c>
      <c r="I54" s="14" t="s">
        <v>9</v>
      </c>
      <c r="J54" s="1" t="s">
        <v>219</v>
      </c>
      <c r="K54" s="10">
        <v>3.0</v>
      </c>
      <c r="L54" s="14" t="s">
        <v>9</v>
      </c>
      <c r="M54" s="5" t="s">
        <v>220</v>
      </c>
      <c r="N54" s="10">
        <v>0.0</v>
      </c>
      <c r="O54" s="14" t="s">
        <v>9</v>
      </c>
      <c r="P54" s="1" t="s">
        <v>221</v>
      </c>
      <c r="Q54" s="10" t="s">
        <v>345</v>
      </c>
      <c r="R54" s="14"/>
      <c r="S54" s="9" t="s">
        <v>222</v>
      </c>
      <c r="T54" s="9"/>
      <c r="U54" s="9"/>
      <c r="V54" s="100" t="s">
        <v>209</v>
      </c>
      <c r="W54" s="101">
        <v>0.0</v>
      </c>
      <c r="X54" s="100"/>
      <c r="Y54" s="100" t="s">
        <v>210</v>
      </c>
      <c r="Z54" s="101">
        <v>0.0</v>
      </c>
    </row>
    <row r="55" ht="12.75" customHeight="1">
      <c r="A55" s="9"/>
      <c r="B55" s="10">
        <v>6.0</v>
      </c>
      <c r="C55" s="14" t="s">
        <v>9</v>
      </c>
      <c r="D55" s="5" t="s">
        <v>223</v>
      </c>
      <c r="E55" s="10" t="s">
        <v>345</v>
      </c>
      <c r="F55" s="14"/>
      <c r="G55" s="9" t="s">
        <v>224</v>
      </c>
      <c r="H55" s="10" t="s">
        <v>345</v>
      </c>
      <c r="I55" s="14"/>
      <c r="J55" s="9" t="s">
        <v>225</v>
      </c>
      <c r="K55" s="10" t="s">
        <v>345</v>
      </c>
      <c r="L55" s="14"/>
      <c r="M55" s="12" t="s">
        <v>226</v>
      </c>
      <c r="N55" s="10" t="s">
        <v>345</v>
      </c>
      <c r="O55" s="14"/>
      <c r="P55" s="9" t="s">
        <v>227</v>
      </c>
      <c r="Q55" s="10" t="s">
        <v>345</v>
      </c>
      <c r="R55" s="14"/>
      <c r="S55" s="12" t="s">
        <v>228</v>
      </c>
      <c r="T55" s="9"/>
      <c r="U55" s="9"/>
      <c r="V55" s="100" t="s">
        <v>221</v>
      </c>
      <c r="W55" s="101">
        <v>0.0</v>
      </c>
      <c r="X55" s="100"/>
      <c r="Y55" s="100" t="s">
        <v>234</v>
      </c>
      <c r="Z55" s="101">
        <v>0.0</v>
      </c>
    </row>
    <row r="56" ht="12.75" customHeight="1">
      <c r="A56" s="9"/>
      <c r="B56" s="10" t="s">
        <v>345</v>
      </c>
      <c r="C56" s="14"/>
      <c r="D56" s="12" t="s">
        <v>229</v>
      </c>
      <c r="E56" s="10" t="s">
        <v>345</v>
      </c>
      <c r="F56" s="14"/>
      <c r="G56" s="9" t="s">
        <v>230</v>
      </c>
      <c r="H56" s="10" t="s">
        <v>345</v>
      </c>
      <c r="I56" s="14"/>
      <c r="J56" s="12" t="s">
        <v>231</v>
      </c>
      <c r="K56" s="10" t="s">
        <v>345</v>
      </c>
      <c r="L56" s="14"/>
      <c r="M56" s="12" t="s">
        <v>232</v>
      </c>
      <c r="N56" s="10" t="s">
        <v>345</v>
      </c>
      <c r="O56" s="14"/>
      <c r="P56" s="9" t="s">
        <v>233</v>
      </c>
      <c r="Q56" s="10">
        <v>0.0</v>
      </c>
      <c r="R56" s="14" t="s">
        <v>9</v>
      </c>
      <c r="S56" s="5" t="s">
        <v>234</v>
      </c>
      <c r="T56" s="9"/>
      <c r="U56" s="9"/>
      <c r="V56" s="100" t="s">
        <v>239</v>
      </c>
      <c r="W56" s="101">
        <v>7.0</v>
      </c>
      <c r="X56" s="100"/>
      <c r="Y56" s="100" t="s">
        <v>246</v>
      </c>
      <c r="Z56" s="101">
        <v>13.0</v>
      </c>
    </row>
    <row r="57" ht="12.75" customHeight="1">
      <c r="A57" s="9"/>
      <c r="B57" s="10"/>
      <c r="C57" s="3"/>
      <c r="D57" s="9"/>
      <c r="E57" s="10"/>
      <c r="F57" s="3"/>
      <c r="G57" s="9"/>
      <c r="H57" s="10"/>
      <c r="I57" s="3"/>
      <c r="J57" s="9"/>
      <c r="K57" s="10"/>
      <c r="L57" s="3"/>
      <c r="M57" s="9"/>
      <c r="N57" s="10"/>
      <c r="O57" s="3"/>
      <c r="P57" s="9"/>
      <c r="Q57" s="10"/>
      <c r="R57" s="3"/>
      <c r="S57" s="9"/>
      <c r="T57" s="9"/>
      <c r="U57" s="9"/>
      <c r="V57" s="100" t="s">
        <v>257</v>
      </c>
      <c r="W57" s="101">
        <v>16.0</v>
      </c>
      <c r="X57" s="100"/>
      <c r="Y57" s="100" t="s">
        <v>252</v>
      </c>
      <c r="Z57" s="101">
        <v>3.0</v>
      </c>
    </row>
    <row r="58" ht="12.75" customHeight="1">
      <c r="A58" s="9" t="s">
        <v>96</v>
      </c>
      <c r="B58" s="10">
        <v>10.0</v>
      </c>
      <c r="C58" s="14" t="s">
        <v>9</v>
      </c>
      <c r="D58" s="1" t="s">
        <v>235</v>
      </c>
      <c r="E58" s="10" t="s">
        <v>345</v>
      </c>
      <c r="F58" s="14"/>
      <c r="G58" s="9" t="s">
        <v>236</v>
      </c>
      <c r="H58" s="10">
        <v>10.0</v>
      </c>
      <c r="I58" s="14" t="s">
        <v>9</v>
      </c>
      <c r="J58" s="1" t="s">
        <v>237</v>
      </c>
      <c r="K58" s="10">
        <v>11.0</v>
      </c>
      <c r="L58" s="14" t="s">
        <v>9</v>
      </c>
      <c r="M58" s="5" t="s">
        <v>238</v>
      </c>
      <c r="N58" s="10">
        <v>7.0</v>
      </c>
      <c r="O58" s="14" t="s">
        <v>9</v>
      </c>
      <c r="P58" s="5" t="s">
        <v>239</v>
      </c>
      <c r="Q58" s="10" t="s">
        <v>345</v>
      </c>
      <c r="R58" s="14"/>
      <c r="S58" s="9" t="s">
        <v>240</v>
      </c>
      <c r="T58" s="9"/>
      <c r="U58" s="9"/>
      <c r="V58" s="100" t="s">
        <v>269</v>
      </c>
      <c r="W58" s="101">
        <v>0.0</v>
      </c>
      <c r="X58" s="100"/>
      <c r="Y58" s="100" t="s">
        <v>270</v>
      </c>
      <c r="Z58" s="101">
        <v>6.0</v>
      </c>
    </row>
    <row r="59" ht="12.75" customHeight="1">
      <c r="A59" s="9"/>
      <c r="B59" s="10" t="s">
        <v>345</v>
      </c>
      <c r="C59" s="14"/>
      <c r="D59" s="12" t="s">
        <v>241</v>
      </c>
      <c r="E59" s="10">
        <v>2.0</v>
      </c>
      <c r="F59" s="14" t="s">
        <v>9</v>
      </c>
      <c r="G59" s="1" t="s">
        <v>242</v>
      </c>
      <c r="H59" s="10" t="s">
        <v>345</v>
      </c>
      <c r="I59" s="14"/>
      <c r="J59" s="9" t="s">
        <v>243</v>
      </c>
      <c r="K59" s="10" t="s">
        <v>345</v>
      </c>
      <c r="L59" s="14"/>
      <c r="M59" s="12" t="s">
        <v>244</v>
      </c>
      <c r="N59" s="10" t="s">
        <v>345</v>
      </c>
      <c r="O59" s="14"/>
      <c r="P59" s="12" t="s">
        <v>245</v>
      </c>
      <c r="Q59" s="10">
        <v>13.0</v>
      </c>
      <c r="R59" s="14" t="s">
        <v>9</v>
      </c>
      <c r="S59" s="5" t="s">
        <v>246</v>
      </c>
      <c r="T59" s="9"/>
      <c r="U59" s="9"/>
      <c r="V59" s="100"/>
      <c r="W59" s="101">
        <v>34.0</v>
      </c>
      <c r="X59" s="100"/>
      <c r="Y59" s="100"/>
      <c r="Z59" s="101">
        <v>44.0</v>
      </c>
    </row>
    <row r="60" ht="12.75" customHeight="1">
      <c r="A60" s="9"/>
      <c r="B60" s="10"/>
      <c r="C60" s="3"/>
      <c r="D60" s="9"/>
      <c r="E60" s="10"/>
      <c r="F60" s="3"/>
      <c r="G60" s="9"/>
      <c r="H60" s="10"/>
      <c r="I60" s="3"/>
      <c r="J60" s="9"/>
      <c r="K60" s="10"/>
      <c r="L60" s="3"/>
      <c r="M60" s="9"/>
      <c r="N60" s="10"/>
      <c r="O60" s="3"/>
      <c r="P60" s="9"/>
      <c r="Q60" s="10"/>
      <c r="R60" s="3"/>
      <c r="S60" s="9"/>
      <c r="T60" s="9"/>
      <c r="U60" s="9"/>
      <c r="V60" s="100"/>
      <c r="W60" s="101"/>
      <c r="X60" s="100"/>
      <c r="Y60" s="100"/>
      <c r="Z60" s="101"/>
    </row>
    <row r="61" ht="12.75" customHeight="1">
      <c r="A61" s="9" t="s">
        <v>109</v>
      </c>
      <c r="B61" s="10" t="s">
        <v>345</v>
      </c>
      <c r="C61" s="14"/>
      <c r="D61" s="9" t="s">
        <v>247</v>
      </c>
      <c r="E61" s="10">
        <v>17.0</v>
      </c>
      <c r="F61" s="14" t="s">
        <v>9</v>
      </c>
      <c r="G61" s="5" t="s">
        <v>248</v>
      </c>
      <c r="H61" s="10">
        <v>5.0</v>
      </c>
      <c r="I61" s="14" t="s">
        <v>9</v>
      </c>
      <c r="J61" s="5" t="s">
        <v>249</v>
      </c>
      <c r="K61" s="10">
        <v>7.0</v>
      </c>
      <c r="L61" s="14" t="s">
        <v>9</v>
      </c>
      <c r="M61" s="5" t="s">
        <v>250</v>
      </c>
      <c r="N61" s="10" t="s">
        <v>345</v>
      </c>
      <c r="O61" s="14"/>
      <c r="P61" s="9" t="s">
        <v>251</v>
      </c>
      <c r="Q61" s="10">
        <v>3.0</v>
      </c>
      <c r="R61" s="14" t="s">
        <v>9</v>
      </c>
      <c r="S61" s="5" t="s">
        <v>252</v>
      </c>
      <c r="T61" s="9"/>
      <c r="U61" s="9"/>
      <c r="V61" s="98" t="s">
        <v>320</v>
      </c>
      <c r="W61" s="99"/>
      <c r="X61" s="98"/>
      <c r="Y61" s="98" t="s">
        <v>323</v>
      </c>
      <c r="Z61" s="99"/>
    </row>
    <row r="62" ht="12.75" customHeight="1">
      <c r="A62" s="9"/>
      <c r="B62" s="10">
        <v>13.0</v>
      </c>
      <c r="C62" s="14" t="s">
        <v>9</v>
      </c>
      <c r="D62" s="1" t="s">
        <v>253</v>
      </c>
      <c r="E62" s="10" t="s">
        <v>345</v>
      </c>
      <c r="F62" s="14"/>
      <c r="G62" s="12" t="s">
        <v>254</v>
      </c>
      <c r="H62" s="10" t="s">
        <v>345</v>
      </c>
      <c r="I62" s="14"/>
      <c r="J62" s="12" t="s">
        <v>255</v>
      </c>
      <c r="K62" s="10" t="s">
        <v>345</v>
      </c>
      <c r="L62" s="14"/>
      <c r="M62" s="9" t="s">
        <v>256</v>
      </c>
      <c r="N62" s="10">
        <v>16.0</v>
      </c>
      <c r="O62" s="14" t="s">
        <v>9</v>
      </c>
      <c r="P62" s="5" t="s">
        <v>257</v>
      </c>
      <c r="Q62" s="10" t="s">
        <v>345</v>
      </c>
      <c r="R62" s="14"/>
      <c r="S62" s="12" t="s">
        <v>258</v>
      </c>
      <c r="T62" s="9"/>
      <c r="U62" s="9"/>
      <c r="V62" s="100" t="s">
        <v>22</v>
      </c>
      <c r="W62" s="101">
        <v>22.0</v>
      </c>
      <c r="X62" s="100"/>
      <c r="Y62" s="100" t="s">
        <v>13</v>
      </c>
      <c r="Z62" s="101">
        <v>2.0</v>
      </c>
    </row>
    <row r="63" ht="12.75" customHeight="1">
      <c r="A63" s="9"/>
      <c r="B63" s="10"/>
      <c r="C63" s="3"/>
      <c r="D63" s="9"/>
      <c r="E63" s="10"/>
      <c r="F63" s="3"/>
      <c r="G63" s="9"/>
      <c r="H63" s="10"/>
      <c r="I63" s="3"/>
      <c r="J63" s="9"/>
      <c r="K63" s="10"/>
      <c r="L63" s="3"/>
      <c r="M63" s="9"/>
      <c r="N63" s="10"/>
      <c r="O63" s="3"/>
      <c r="P63" s="9"/>
      <c r="Q63" s="10"/>
      <c r="R63" s="3"/>
      <c r="S63" s="9"/>
      <c r="T63" s="9"/>
      <c r="U63" s="9"/>
      <c r="V63" s="100" t="s">
        <v>29</v>
      </c>
      <c r="W63" s="101">
        <v>0.0</v>
      </c>
      <c r="X63" s="100"/>
      <c r="Y63" s="18" t="s">
        <v>44</v>
      </c>
      <c r="Z63" s="101">
        <v>12.0</v>
      </c>
    </row>
    <row r="64" ht="12.75" customHeight="1">
      <c r="A64" s="9" t="s">
        <v>122</v>
      </c>
      <c r="B64" s="10" t="s">
        <v>345</v>
      </c>
      <c r="C64" s="14"/>
      <c r="D64" s="12" t="s">
        <v>259</v>
      </c>
      <c r="E64" s="10">
        <v>4.0</v>
      </c>
      <c r="F64" s="14" t="s">
        <v>9</v>
      </c>
      <c r="G64" s="1" t="s">
        <v>260</v>
      </c>
      <c r="H64" s="10">
        <v>0.0</v>
      </c>
      <c r="I64" s="14" t="s">
        <v>9</v>
      </c>
      <c r="J64" s="1" t="s">
        <v>261</v>
      </c>
      <c r="K64" s="10">
        <v>0.0</v>
      </c>
      <c r="L64" s="14" t="s">
        <v>9</v>
      </c>
      <c r="M64" s="5" t="s">
        <v>262</v>
      </c>
      <c r="N64" s="10" t="s">
        <v>345</v>
      </c>
      <c r="O64" s="14"/>
      <c r="P64" s="12" t="s">
        <v>263</v>
      </c>
      <c r="Q64" s="10" t="s">
        <v>345</v>
      </c>
      <c r="R64" s="14"/>
      <c r="S64" s="9" t="s">
        <v>264</v>
      </c>
      <c r="T64" s="9"/>
      <c r="U64" s="9"/>
      <c r="V64" s="100" t="s">
        <v>35</v>
      </c>
      <c r="W64" s="101">
        <v>0.0</v>
      </c>
      <c r="X64" s="100"/>
      <c r="Y64" s="100" t="s">
        <v>50</v>
      </c>
      <c r="Z64" s="101">
        <v>6.0</v>
      </c>
    </row>
    <row r="65" ht="12.75" customHeight="1">
      <c r="A65" s="9"/>
      <c r="B65" s="10">
        <v>5.0</v>
      </c>
      <c r="C65" s="14" t="s">
        <v>9</v>
      </c>
      <c r="D65" s="1" t="s">
        <v>265</v>
      </c>
      <c r="E65" s="10" t="s">
        <v>345</v>
      </c>
      <c r="F65" s="14"/>
      <c r="G65" s="12" t="s">
        <v>266</v>
      </c>
      <c r="H65" s="10" t="s">
        <v>345</v>
      </c>
      <c r="I65" s="14"/>
      <c r="J65" s="9" t="s">
        <v>267</v>
      </c>
      <c r="K65" s="10" t="s">
        <v>345</v>
      </c>
      <c r="L65" s="14"/>
      <c r="M65" s="9" t="s">
        <v>268</v>
      </c>
      <c r="N65" s="10">
        <v>0.0</v>
      </c>
      <c r="O65" s="14" t="s">
        <v>9</v>
      </c>
      <c r="P65" s="1" t="s">
        <v>269</v>
      </c>
      <c r="Q65" s="10">
        <v>6.0</v>
      </c>
      <c r="R65" s="14" t="s">
        <v>9</v>
      </c>
      <c r="S65" s="5" t="s">
        <v>270</v>
      </c>
      <c r="T65" s="9"/>
      <c r="U65" s="9"/>
      <c r="V65" s="100" t="s">
        <v>60</v>
      </c>
      <c r="W65" s="101">
        <v>0.0</v>
      </c>
      <c r="X65" s="100"/>
      <c r="Y65" s="100" t="s">
        <v>57</v>
      </c>
      <c r="Z65" s="101">
        <v>17.0</v>
      </c>
    </row>
    <row r="66" ht="12.75" customHeight="1">
      <c r="A66" s="9"/>
      <c r="B66" s="2"/>
      <c r="C66" s="3"/>
      <c r="D66" s="9"/>
      <c r="E66" s="10"/>
      <c r="F66" s="3"/>
      <c r="G66" s="9"/>
      <c r="H66" s="10"/>
      <c r="I66" s="3"/>
      <c r="J66" s="9"/>
      <c r="K66" s="10"/>
      <c r="L66" s="3"/>
      <c r="M66" s="9"/>
      <c r="N66" s="10"/>
      <c r="O66" s="3"/>
      <c r="P66" s="9"/>
      <c r="Q66" s="10"/>
      <c r="R66" s="3"/>
      <c r="S66" s="9"/>
      <c r="T66" s="9"/>
      <c r="U66" s="9"/>
      <c r="V66" s="100" t="s">
        <v>72</v>
      </c>
      <c r="W66" s="101">
        <v>6.0</v>
      </c>
      <c r="X66" s="100"/>
      <c r="Y66" s="100" t="s">
        <v>63</v>
      </c>
      <c r="Z66" s="101">
        <v>6.0</v>
      </c>
    </row>
    <row r="67" ht="12.75" customHeight="1">
      <c r="A67" s="19"/>
      <c r="B67" s="20"/>
      <c r="C67" s="21"/>
      <c r="D67" s="22">
        <v>60.0</v>
      </c>
      <c r="E67" s="20"/>
      <c r="F67" s="21"/>
      <c r="G67" s="22">
        <v>52.0</v>
      </c>
      <c r="H67" s="20"/>
      <c r="I67" s="21"/>
      <c r="J67" s="22">
        <v>53.0</v>
      </c>
      <c r="K67" s="20"/>
      <c r="L67" s="21"/>
      <c r="M67" s="22">
        <v>51.0</v>
      </c>
      <c r="N67" s="20"/>
      <c r="O67" s="21"/>
      <c r="P67" s="22">
        <v>34.0</v>
      </c>
      <c r="Q67" s="20"/>
      <c r="R67" s="21"/>
      <c r="S67" s="22">
        <v>44.0</v>
      </c>
      <c r="T67" s="19"/>
      <c r="U67" s="19"/>
      <c r="V67" s="100" t="s">
        <v>85</v>
      </c>
      <c r="W67" s="101">
        <v>0.0</v>
      </c>
      <c r="X67" s="100"/>
      <c r="Y67" s="100" t="s">
        <v>82</v>
      </c>
      <c r="Z67" s="101">
        <v>2.0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6"/>
      <c r="S68" s="9"/>
      <c r="T68" s="9"/>
      <c r="U68" s="9"/>
      <c r="V68" s="100" t="s">
        <v>105</v>
      </c>
      <c r="W68" s="101">
        <v>6.0</v>
      </c>
      <c r="X68" s="100"/>
      <c r="Y68" s="100" t="s">
        <v>108</v>
      </c>
      <c r="Z68" s="101">
        <v>10.0</v>
      </c>
    </row>
    <row r="69" ht="12.75" customHeight="1">
      <c r="A69" s="9" t="s">
        <v>135</v>
      </c>
      <c r="B69" s="2"/>
      <c r="C69" s="3"/>
      <c r="D69" s="9" t="s">
        <v>271</v>
      </c>
      <c r="E69" s="2"/>
      <c r="F69" s="6"/>
      <c r="G69" s="9" t="s">
        <v>272</v>
      </c>
      <c r="H69" s="2"/>
      <c r="I69" s="6"/>
      <c r="J69" s="9" t="s">
        <v>273</v>
      </c>
      <c r="K69" s="2"/>
      <c r="L69" s="6"/>
      <c r="M69" s="9" t="s">
        <v>274</v>
      </c>
      <c r="N69" s="2"/>
      <c r="O69" s="6"/>
      <c r="P69" s="9" t="s">
        <v>275</v>
      </c>
      <c r="Q69" s="2"/>
      <c r="R69" s="6"/>
      <c r="S69" s="9" t="s">
        <v>276</v>
      </c>
      <c r="T69" s="9"/>
      <c r="U69" s="9"/>
      <c r="V69" s="100" t="s">
        <v>118</v>
      </c>
      <c r="W69" s="101">
        <v>4.0</v>
      </c>
      <c r="X69" s="100"/>
      <c r="Y69" s="100" t="s">
        <v>121</v>
      </c>
      <c r="Z69" s="101">
        <v>4.0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277</v>
      </c>
      <c r="K70" s="2"/>
      <c r="L70" s="6"/>
      <c r="M70" s="9" t="s">
        <v>95</v>
      </c>
      <c r="N70" s="2"/>
      <c r="O70" s="6"/>
      <c r="P70" s="9"/>
      <c r="Q70" s="2"/>
      <c r="R70" s="6"/>
      <c r="S70" s="9"/>
      <c r="T70" s="9"/>
      <c r="U70" s="9"/>
      <c r="V70" s="100" t="s">
        <v>125</v>
      </c>
      <c r="W70" s="101">
        <v>4.0</v>
      </c>
      <c r="X70" s="100"/>
      <c r="Y70" s="100" t="s">
        <v>128</v>
      </c>
      <c r="Z70" s="101">
        <v>0.0</v>
      </c>
    </row>
    <row r="71" ht="12.75" customHeight="1">
      <c r="A71" s="9"/>
      <c r="B71" s="2"/>
      <c r="C71" s="3"/>
      <c r="D71" s="9"/>
      <c r="E71" s="2"/>
      <c r="F71" s="6"/>
      <c r="G71" s="28"/>
      <c r="H71" s="2"/>
      <c r="I71" s="6"/>
      <c r="J71" s="28"/>
      <c r="K71" s="2"/>
      <c r="L71" s="6"/>
      <c r="M71" s="28"/>
      <c r="N71" s="2"/>
      <c r="O71" s="6"/>
      <c r="P71" s="28"/>
      <c r="Q71" s="2"/>
      <c r="R71" s="6"/>
      <c r="S71" s="28"/>
      <c r="T71" s="9"/>
      <c r="U71" s="9"/>
      <c r="V71" s="100"/>
      <c r="W71" s="101">
        <v>42.0</v>
      </c>
      <c r="X71" s="100"/>
      <c r="Y71" s="100"/>
      <c r="Z71" s="101">
        <v>59.0</v>
      </c>
    </row>
    <row r="72" ht="12.75" customHeight="1">
      <c r="A72" s="9" t="s">
        <v>143</v>
      </c>
      <c r="B72" s="2"/>
      <c r="C72" s="3"/>
      <c r="D72" s="12"/>
      <c r="F72" s="29"/>
      <c r="G72" s="25"/>
      <c r="H72" s="25"/>
      <c r="J72" s="25"/>
      <c r="K72" s="26"/>
      <c r="M72" s="25"/>
      <c r="N72" s="26"/>
      <c r="P72" s="25"/>
      <c r="Q72" s="25"/>
      <c r="R72" s="30"/>
      <c r="S72" s="25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29"/>
      <c r="G73" s="25"/>
      <c r="H73" s="25"/>
      <c r="J73" s="25"/>
      <c r="K73" s="26"/>
      <c r="M73" s="25"/>
      <c r="N73" s="28"/>
      <c r="P73" s="25"/>
      <c r="Q73" s="25"/>
      <c r="R73" s="30"/>
      <c r="S73" s="25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29"/>
      <c r="G74" s="25"/>
      <c r="H74" s="25"/>
      <c r="J74" s="25"/>
      <c r="K74" s="26"/>
      <c r="M74" s="25"/>
      <c r="N74" s="26"/>
      <c r="P74" s="25"/>
      <c r="Q74" s="25"/>
      <c r="R74" s="30"/>
      <c r="S74" s="25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